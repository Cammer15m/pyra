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ode BOM" sheetId="2" state="visible" r:id="rId4"/>
    <sheet name="Phase 1 Kit" sheetId="3" state="visible" r:id="rId5"/>
    <sheet name="Gateway BOM" sheetId="4" state="visible" r:id="rId6"/>
    <sheet name="Procurement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8" authorId="0">
      <text>
        <r>
          <rPr>
            <sz val="10"/>
            <rFont val="Arial"/>
            <family val="2"/>
          </rPr>
          <t xml:space="preserve">Excludes alternates (MultiTech gateway, Starlink kit). Edit formula if you pick them instead.</t>
        </r>
      </text>
    </comment>
  </commentList>
</comments>
</file>

<file path=xl/sharedStrings.xml><?xml version="1.0" encoding="utf-8"?>
<sst xmlns="http://schemas.openxmlformats.org/spreadsheetml/2006/main" count="826" uniqueCount="604">
  <si>
    <t xml:space="preserve">PYRA — Starter Bill of Materials</t>
  </si>
  <si>
    <t xml:space="preserve">v0.1  •  Initial procurement reference for the development agent</t>
  </si>
  <si>
    <t xml:space="preserve">Purpose</t>
  </si>
  <si>
    <t xml:space="preserve">This workbook is the starting BOM for the PYRA wildfire-monitoring stake. It accompanies the Project Brief v0.1. Two candidate parts are given for every sensor slot so the agent can price-check, compare specs, and substitute based on lead time or regulatory considerations.</t>
  </si>
  <si>
    <t xml:space="preserve">How to use</t>
  </si>
  <si>
    <t xml:space="preserve">1. Start with the 'Phase 1 Kit' sheet — this is the minimal parts list for the bench-proof single node (weeks 6–16 of the roadmap). Order these first.</t>
  </si>
  <si>
    <t xml:space="preserve">2. 'Node BOM' is the full catalog. The 'Scout / Sentinel / Vista' columns show which tier each component ships in. Use SUMIF in the 'Node BOM' totals rows to roll up per-SKU costs.</t>
  </si>
  <si>
    <t xml:space="preserve">3. 'Gateway BOM' is a separate sub-BOM for the PYRA Relay gateway (one per ~100 nodes).</t>
  </si>
  <si>
    <t xml:space="preserve">4. 'Procurement Notes' covers vendors, Canadian-specific considerations (ISED, duty, sales tax), and lead-time warnings.</t>
  </si>
  <si>
    <t xml:space="preserve">Pricing</t>
  </si>
  <si>
    <t xml:space="preserve">All prices are in USD and are ballpark figures based on quantity-1 pricing from typical hobbyist/prototyping vendors (DigiKey, Mouser, Adafruit, SparkFun, Seeed, RAK). The agent MUST verify current prices and lead times before committing. Volume pricing at 100/1000 qty is significantly lower for most parts.</t>
  </si>
  <si>
    <t xml:space="preserve">Candidates</t>
  </si>
  <si>
    <t xml:space="preserve">Every row gives a Primary and an Alternative part. Primary = what we'd build with today for Phase 1. Alternative = a cheaper or better-spec option to evaluate. Don't assume primary is correct — the agent should explicitly pick one and record the choice in DECISIONS.md.</t>
  </si>
  <si>
    <t xml:space="preserve">Notable gaps &amp; warnings</t>
  </si>
  <si>
    <t xml:space="preserve">• Ultrasonic anemometers are genuinely expensive (US$800+). A mechanical fallback is included but has moving parts and will fail earlier. Talk to the user about budget before choosing.</t>
  </si>
  <si>
    <t xml:space="preserve">• Research-grade soil moisture probes (TEROS 10 class) cost ~US$150+. Capacitive hobby probes drift and need calibration; they are a risk but fine for Phase 1 bench work.</t>
  </si>
  <si>
    <t xml:space="preserve">• Satellite modems (Swarm, Iridium, Astrocast) all require service subscriptions in addition to hardware cost — verify ongoing monthly fees.</t>
  </si>
  <si>
    <t xml:space="preserve">• The ATECC608B and other secure-element parts are allocation-sensitive at small vendors; Mouser/DigiKey are safer than third parties.</t>
  </si>
  <si>
    <t xml:space="preserve">Legend</t>
  </si>
  <si>
    <t xml:space="preserve">Green row = ships in Scout tier. Yellow row = Sentinel. Red row = Vista only. White row = dev/prototype parts not in final SKU.</t>
  </si>
  <si>
    <t xml:space="preserve">Next step</t>
  </si>
  <si>
    <t xml:space="preserve">After the agent verifies current prices and substitutes parts, rename this file to v0.2 and commit it alongside DECISIONS.md.</t>
  </si>
  <si>
    <t xml:space="preserve">Subsystem</t>
  </si>
  <si>
    <t xml:space="preserve">Role</t>
  </si>
  <si>
    <t xml:space="preserve">Primary part</t>
  </si>
  <si>
    <t xml:space="preserve">Primary P/N</t>
  </si>
  <si>
    <t xml:space="preserve">Primary vendor</t>
  </si>
  <si>
    <t xml:space="preserve">Primary US$</t>
  </si>
  <si>
    <t xml:space="preserve">Primary notes</t>
  </si>
  <si>
    <t xml:space="preserve">Alt part</t>
  </si>
  <si>
    <t xml:space="preserve">Alt P/N</t>
  </si>
  <si>
    <t xml:space="preserve">Alt vendor</t>
  </si>
  <si>
    <t xml:space="preserve">Alt US$</t>
  </si>
  <si>
    <t xml:space="preserve">Alt notes</t>
  </si>
  <si>
    <t xml:space="preserve">Scout?</t>
  </si>
  <si>
    <t xml:space="preserve">Sentinel?</t>
  </si>
  <si>
    <t xml:space="preserve">Vista?</t>
  </si>
  <si>
    <t xml:space="preserve">MCU &amp; Core</t>
  </si>
  <si>
    <t xml:space="preserve">Main MCU + LoRa combo board (prototype)</t>
  </si>
  <si>
    <t xml:space="preserve">Heltec WiFi LoRa 32 V3</t>
  </si>
  <si>
    <t xml:space="preserve">HTIT-WB32LA_V3</t>
  </si>
  <si>
    <t xml:space="preserve">Heltec / Mouser</t>
  </si>
  <si>
    <t xml:space="preserve">ESP32-S3 + SX1262 on one board. Ideal for Phase 1. Replace with discrete modules for production.</t>
  </si>
  <si>
    <t xml:space="preserve">LilyGO T-Beam Meshtastic</t>
  </si>
  <si>
    <t xml:space="preserve">T-Beam v1.2</t>
  </si>
  <si>
    <t xml:space="preserve">LilyGO</t>
  </si>
  <si>
    <t xml:space="preserve">Has GPS + LoRa + ESP32 already integrated. Slightly heavier.</t>
  </si>
  <si>
    <t xml:space="preserve">Y</t>
  </si>
  <si>
    <t xml:space="preserve">MCU module (production)</t>
  </si>
  <si>
    <t xml:space="preserve">ESP32-S3-WROOM-1-N16R8</t>
  </si>
  <si>
    <t xml:space="preserve">Espressif / Mouser / DigiKey</t>
  </si>
  <si>
    <t xml:space="preserve">16 MB flash, 8 MB PSRAM. Requires companion LoRa module.</t>
  </si>
  <si>
    <t xml:space="preserve">nRF9160 SiP (cellular)</t>
  </si>
  <si>
    <t xml:space="preserve">nRF9160-SICA-R7</t>
  </si>
  <si>
    <t xml:space="preserve">Nordic / DigiKey</t>
  </si>
  <si>
    <t xml:space="preserve">Use instead of ESP32+LTE modem if primary backhaul is cellular. Built-in LTE-M/NB-IoT.</t>
  </si>
  <si>
    <t xml:space="preserve">LoRa radio module (production)</t>
  </si>
  <si>
    <t xml:space="preserve">RAK3172 (STM32WL55)</t>
  </si>
  <si>
    <t xml:space="preserve">RAK3172</t>
  </si>
  <si>
    <t xml:space="preserve">RAKwireless / Mouser</t>
  </si>
  <si>
    <t xml:space="preserve">LoRaWAN 1.0.3 certified. AT command interface. Good for production.</t>
  </si>
  <si>
    <t xml:space="preserve">Semtech SX1262 raw</t>
  </si>
  <si>
    <t xml:space="preserve">SX1262IMLTRT</t>
  </si>
  <si>
    <t xml:space="preserve">Semtech / DigiKey</t>
  </si>
  <si>
    <t xml:space="preserve">Cheaper but requires full driver stack on host MCU.</t>
  </si>
  <si>
    <t xml:space="preserve">Real-time clock</t>
  </si>
  <si>
    <t xml:space="preserve">DS3231SN + CR2032</t>
  </si>
  <si>
    <t xml:space="preserve">DS3231SN#</t>
  </si>
  <si>
    <t xml:space="preserve">Maxim / DigiKey</t>
  </si>
  <si>
    <t xml:space="preserve">±2 ppm, temp-compensated. Keeps time across sleep.</t>
  </si>
  <si>
    <t xml:space="preserve">RV-3028-C7</t>
  </si>
  <si>
    <t xml:space="preserve">Micro Crystal / Mouser</t>
  </si>
  <si>
    <t xml:space="preserve">Ultra-low-power alt (45 nA standby). Less mature driver ecosystem.</t>
  </si>
  <si>
    <t xml:space="preserve">Secure element</t>
  </si>
  <si>
    <t xml:space="preserve">ATECC608B</t>
  </si>
  <si>
    <t xml:space="preserve">ATECC608B-TNGTLSU-T</t>
  </si>
  <si>
    <t xml:space="preserve">Microchip / DigiKey</t>
  </si>
  <si>
    <t xml:space="preserve">Key storage + device attestation. Pre-provisioned TLS variants available.</t>
  </si>
  <si>
    <t xml:space="preserve">OPTIGA Trust M</t>
  </si>
  <si>
    <t xml:space="preserve">SLS32AIA010MK</t>
  </si>
  <si>
    <t xml:space="preserve">Infineon / Mouser</t>
  </si>
  <si>
    <t xml:space="preserve">More features, higher cost. Overkill unless doing complex PKI.</t>
  </si>
  <si>
    <t xml:space="preserve">GNSS receiver</t>
  </si>
  <si>
    <t xml:space="preserve">u-blox MAX-M10S</t>
  </si>
  <si>
    <t xml:space="preserve">MAX-M10S-00B</t>
  </si>
  <si>
    <t xml:space="preserve">u-blox / DigiKey</t>
  </si>
  <si>
    <t xml:space="preserve">Multi-constellation, 25 mA tracking, 15 µA backup.</t>
  </si>
  <si>
    <t xml:space="preserve">Quectel L80-R</t>
  </si>
  <si>
    <t xml:space="preserve">L80-R</t>
  </si>
  <si>
    <t xml:space="preserve">Quectel / Mouser</t>
  </si>
  <si>
    <t xml:space="preserve">Cheaper, GPS-only, higher power. OK for Phase 1.</t>
  </si>
  <si>
    <t xml:space="preserve">microSD slot</t>
  </si>
  <si>
    <t xml:space="preserve">Molex push-pull µSD</t>
  </si>
  <si>
    <t xml:space="preserve">502570-0893</t>
  </si>
  <si>
    <t xml:space="preserve">Molex / DigiKey</t>
  </si>
  <si>
    <t xml:space="preserve">On-board data buffer during comms outage.</t>
  </si>
  <si>
    <t xml:space="preserve">Hirose DM3AT</t>
  </si>
  <si>
    <t xml:space="preserve">DM3AT-SF-PEJM5</t>
  </si>
  <si>
    <t xml:space="preserve">Hirose / DigiKey</t>
  </si>
  <si>
    <t xml:space="preserve">Common alternate footprint.</t>
  </si>
  <si>
    <t xml:space="preserve">Weather</t>
  </si>
  <si>
    <t xml:space="preserve">Air temperature + humidity</t>
  </si>
  <si>
    <t xml:space="preserve">Sensirion SHT45</t>
  </si>
  <si>
    <t xml:space="preserve">SHT45-AD1B-R2</t>
  </si>
  <si>
    <t xml:space="preserve">Sensirion / DigiKey</t>
  </si>
  <si>
    <t xml:space="preserve">±1% RH, ±0.1°C. Top of class.</t>
  </si>
  <si>
    <t xml:space="preserve">Sensirion SHT40</t>
  </si>
  <si>
    <t xml:space="preserve">SHT40-AD1B-R2</t>
  </si>
  <si>
    <t xml:space="preserve">±1.8% RH, ±0.2°C. Cheaper.</t>
  </si>
  <si>
    <t xml:space="preserve">Barometric pressure</t>
  </si>
  <si>
    <t xml:space="preserve">Bosch BMP390</t>
  </si>
  <si>
    <t xml:space="preserve">BMP390</t>
  </si>
  <si>
    <t xml:space="preserve">Bosch / DigiKey</t>
  </si>
  <si>
    <t xml:space="preserve">±3 Pa accuracy. Pair with SHT for altitude + weather.</t>
  </si>
  <si>
    <t xml:space="preserve">Bosch BME280</t>
  </si>
  <si>
    <t xml:space="preserve">BME280</t>
  </si>
  <si>
    <t xml:space="preserve">Combo T/RH/P but worse RH than SHT.</t>
  </si>
  <si>
    <t xml:space="preserve">Wind speed + direction</t>
  </si>
  <si>
    <t xml:space="preserve">FT Technologies FT205</t>
  </si>
  <si>
    <t xml:space="preserve">FT205</t>
  </si>
  <si>
    <t xml:space="preserve">FT Technologies</t>
  </si>
  <si>
    <t xml:space="preserve">Ultrasonic, no moving parts, ±0.1 m/s. Cost is real. Talk to user about SKU strategy.</t>
  </si>
  <si>
    <t xml:space="preserve">Davis 6410 Anemometer</t>
  </si>
  <si>
    <t xml:space="preserve">6410</t>
  </si>
  <si>
    <t xml:space="preserve">Davis Instruments</t>
  </si>
  <si>
    <t xml:space="preserve">Mechanical cup/vane. Cheap but moving parts fail in debris/icing.</t>
  </si>
  <si>
    <t xml:space="preserve">Wind speed (cheap fallback)</t>
  </si>
  <si>
    <t xml:space="preserve">Modern Device Wind Rev P</t>
  </si>
  <si>
    <t xml:space="preserve">WIND-P</t>
  </si>
  <si>
    <t xml:space="preserve">Modern Device</t>
  </si>
  <si>
    <t xml:space="preserve">Hot-wire, speed only, no direction. Include only for Scout tier if budget forces.</t>
  </si>
  <si>
    <t xml:space="preserve">(none)</t>
  </si>
  <si>
    <t xml:space="preserve">If you need direction on a Scout, use the Davis 6410 instead.</t>
  </si>
  <si>
    <t xml:space="preserve">Solar irradiance</t>
  </si>
  <si>
    <t xml:space="preserve">Apogee SP-110-SS</t>
  </si>
  <si>
    <t xml:space="preserve">SP-110-SS</t>
  </si>
  <si>
    <t xml:space="preserve">Apogee Instruments</t>
  </si>
  <si>
    <t xml:space="preserve">Silicon pyranometer, self-powered, 0-400 mV output. Research grade.</t>
  </si>
  <si>
    <t xml:space="preserve">Adafruit VEML7700 (lux)</t>
  </si>
  <si>
    <t xml:space="preserve">4162</t>
  </si>
  <si>
    <t xml:space="preserve">Adafruit</t>
  </si>
  <si>
    <t xml:space="preserve">Lux sensor, not a pyranometer. Approximate for Scout tier only.</t>
  </si>
  <si>
    <t xml:space="preserve">UV index</t>
  </si>
  <si>
    <t xml:space="preserve">Liteon LTR-390UV-01</t>
  </si>
  <si>
    <t xml:space="preserve">LTR-390UV-01</t>
  </si>
  <si>
    <t xml:space="preserve">Liteon / DigiKey</t>
  </si>
  <si>
    <t xml:space="preserve">UV-A index + ambient light.</t>
  </si>
  <si>
    <t xml:space="preserve">SiLabs SI1133</t>
  </si>
  <si>
    <t xml:space="preserve">SI1133-AA00-GM</t>
  </si>
  <si>
    <t xml:space="preserve">SiLabs / DigiKey</t>
  </si>
  <si>
    <t xml:space="preserve">UV index + visible + IR combined.</t>
  </si>
  <si>
    <t xml:space="preserve">Rainfall (tipping bucket)</t>
  </si>
  <si>
    <t xml:space="preserve">Davis Vantage 6465</t>
  </si>
  <si>
    <t xml:space="preserve">6465M</t>
  </si>
  <si>
    <t xml:space="preserve">0.2 mm per tip. Industry standard.</t>
  </si>
  <si>
    <t xml:space="preserve">Hydreon RG-15</t>
  </si>
  <si>
    <t xml:space="preserve">RG-15</t>
  </si>
  <si>
    <t xml:space="preserve">Hydreon</t>
  </si>
  <si>
    <t xml:space="preserve">Solid-state optical (no moving parts). Quieter, self-cleaning.</t>
  </si>
  <si>
    <t xml:space="preserve">Leaf wetness</t>
  </si>
  <si>
    <t xml:space="preserve">Meter PHYTOS 31</t>
  </si>
  <si>
    <t xml:space="preserve">PHYTOS-31</t>
  </si>
  <si>
    <t xml:space="preserve">Meter Group</t>
  </si>
  <si>
    <t xml:space="preserve">Dielectric pad, mimics leaf surface. Research grade.</t>
  </si>
  <si>
    <t xml:space="preserve">DIY capacitive pad</t>
  </si>
  <si>
    <t xml:space="preserve">custom</t>
  </si>
  <si>
    <t xml:space="preserve">in-house</t>
  </si>
  <si>
    <t xml:space="preserve">PCB pad + capacitance-to-digital chip. Needs calibration; fine for Phase 1.</t>
  </si>
  <si>
    <t xml:space="preserve">Soil &amp; Fuel</t>
  </si>
  <si>
    <t xml:space="preserve">Soil moisture (shallow, 5 cm)</t>
  </si>
  <si>
    <t xml:space="preserve">Meter TEROS 10</t>
  </si>
  <si>
    <t xml:space="preserve">TEROS-10</t>
  </si>
  <si>
    <t xml:space="preserve">Meter Group / METER</t>
  </si>
  <si>
    <t xml:space="preserve">Research grade, volumetric water content. Factory calibrated.</t>
  </si>
  <si>
    <t xml:space="preserve">Vegetronix VH400</t>
  </si>
  <si>
    <t xml:space="preserve">VH400</t>
  </si>
  <si>
    <t xml:space="preserve">Vegetronix</t>
  </si>
  <si>
    <t xml:space="preserve">Mid-grade capacitive. OK for operational deployment.</t>
  </si>
  <si>
    <t xml:space="preserve">Soil moisture (deep, 20 cm)</t>
  </si>
  <si>
    <t xml:space="preserve">Second probe at depth for drought context.</t>
  </si>
  <si>
    <t xml:space="preserve">DFRobot capacitive SEN0193</t>
  </si>
  <si>
    <t xml:space="preserve">SEN0193</t>
  </si>
  <si>
    <t xml:space="preserve">DFRobot / Seeed</t>
  </si>
  <si>
    <t xml:space="preserve">Very cheap, drift-prone; research-only or Phase 1 bench.</t>
  </si>
  <si>
    <t xml:space="preserve">Soil temperature (2 depths)</t>
  </si>
  <si>
    <t xml:space="preserve">DS18B20 waterproof probe ×2</t>
  </si>
  <si>
    <t xml:space="preserve">DS18B20-WP-1M</t>
  </si>
  <si>
    <t xml:space="preserve">Maxim / AliExpress / DigiKey</t>
  </si>
  <si>
    <t xml:space="preserve">1-Wire, 2 probes at different depths. Total for pair.</t>
  </si>
  <si>
    <t xml:space="preserve">MAX31850K + thermocouple</t>
  </si>
  <si>
    <t xml:space="preserve">MAX31850KATB+T</t>
  </si>
  <si>
    <t xml:space="preserve">Wider temp range if post-fire survival matters.</t>
  </si>
  <si>
    <t xml:space="preserve">Duff-moisture surrogate (10-hr fuel stick replica)</t>
  </si>
  <si>
    <t xml:space="preserve">Custom capacitive fuel-stick pad</t>
  </si>
  <si>
    <t xml:space="preserve">Wood dowel + capacitive pad approximating 10-hr fuel stick. Calibrate against published FFMC/DMC.</t>
  </si>
  <si>
    <t xml:space="preserve">Commercial fuel moisture stick</t>
  </si>
  <si>
    <t xml:space="preserve">CS506</t>
  </si>
  <si>
    <t xml:space="preserve">Campbell Scientific</t>
  </si>
  <si>
    <t xml:space="preserve">Research reference. Buy one as ground-truth for calibration.</t>
  </si>
  <si>
    <t xml:space="preserve">Fire Detection</t>
  </si>
  <si>
    <t xml:space="preserve">PM2.5 / PM10 particulate</t>
  </si>
  <si>
    <t xml:space="preserve">Plantower PMS7003</t>
  </si>
  <si>
    <t xml:space="preserve">PMS7003</t>
  </si>
  <si>
    <t xml:space="preserve">Plantower / DigiKey</t>
  </si>
  <si>
    <t xml:space="preserve">Laser scattering, 5-yr life at duty-cycled use. Good smoke early-warning.</t>
  </si>
  <si>
    <t xml:space="preserve">Sensirion SPS30</t>
  </si>
  <si>
    <t xml:space="preserve">SPS30</t>
  </si>
  <si>
    <t xml:space="preserve">Longer warranty, better bin resolution. Preferred for operational use.</t>
  </si>
  <si>
    <t xml:space="preserve">VOC / eCO2</t>
  </si>
  <si>
    <t xml:space="preserve">Sensirion SGP41</t>
  </si>
  <si>
    <t xml:space="preserve">SGP41-D-R4</t>
  </si>
  <si>
    <t xml:space="preserve">Metal-oxide VOC + NOx. Better than CCS811 (EOL).</t>
  </si>
  <si>
    <t xml:space="preserve">Bosch BME688</t>
  </si>
  <si>
    <t xml:space="preserve">BME688</t>
  </si>
  <si>
    <t xml:space="preserve">T/RH/P + VOC in one package. ML-based gas classification.</t>
  </si>
  <si>
    <t xml:space="preserve">Carbon monoxide</t>
  </si>
  <si>
    <t xml:space="preserve">Figaro TGS5042</t>
  </si>
  <si>
    <t xml:space="preserve">TGS5042-A00</t>
  </si>
  <si>
    <t xml:space="preserve">Figaro / Mouser</t>
  </si>
  <si>
    <t xml:space="preserve">Electrochemical, 5-yr life, linear CO response.</t>
  </si>
  <si>
    <t xml:space="preserve">Winsen MQ-7</t>
  </si>
  <si>
    <t xml:space="preserve">MQ-7</t>
  </si>
  <si>
    <t xml:space="preserve">Winsen / DigiKey</t>
  </si>
  <si>
    <t xml:space="preserve">Cheap but poor accuracy, high-power heater cycling.</t>
  </si>
  <si>
    <t xml:space="preserve">CO2 (optional)</t>
  </si>
  <si>
    <t xml:space="preserve">Sensirion SCD41</t>
  </si>
  <si>
    <t xml:space="preserve">SCD41-D-R2</t>
  </si>
  <si>
    <t xml:space="preserve">NDIR CO2. Elevated CO2 + PM = strong fire signal.</t>
  </si>
  <si>
    <t xml:space="preserve">Cubic CM1107</t>
  </si>
  <si>
    <t xml:space="preserve">CM1107N</t>
  </si>
  <si>
    <t xml:space="preserve">Cubic Sensor</t>
  </si>
  <si>
    <t xml:space="preserve">Cheaper NDIR, less precise.</t>
  </si>
  <si>
    <t xml:space="preserve">IR thermopile array (hotspot detection)</t>
  </si>
  <si>
    <t xml:space="preserve">Melexis MLX90640 BAA</t>
  </si>
  <si>
    <t xml:space="preserve">MLX90640BAA</t>
  </si>
  <si>
    <t xml:space="preserve">Melexis / DigiKey</t>
  </si>
  <si>
    <t xml:space="preserve">32×24 IR array, 55° FOV. Sees nearby heat anomalies + canopy temp.</t>
  </si>
  <si>
    <t xml:space="preserve">Panasonic Grid-EYE AMG8833</t>
  </si>
  <si>
    <t xml:space="preserve">AMG8833</t>
  </si>
  <si>
    <t xml:space="preserve">Panasonic / DigiKey</t>
  </si>
  <si>
    <t xml:space="preserve">8×8 lower res. Cheaper Scout-tier option.</t>
  </si>
  <si>
    <t xml:space="preserve">Lightning detector</t>
  </si>
  <si>
    <t xml:space="preserve">AMS AS3935 (MOD-1016 breakout)</t>
  </si>
  <si>
    <t xml:space="preserve">MOD-1016</t>
  </si>
  <si>
    <t xml:space="preserve">Embedded Adventures / Pimoroni</t>
  </si>
  <si>
    <t xml:space="preserve">40 km range Franklin detector. Ignition-cause attribution.</t>
  </si>
  <si>
    <t xml:space="preserve">DFRobot Gravity AS3935</t>
  </si>
  <si>
    <t xml:space="preserve">SEN0290</t>
  </si>
  <si>
    <t xml:space="preserve">DFRobot</t>
  </si>
  <si>
    <t xml:space="preserve">Same chip, different breakout.</t>
  </si>
  <si>
    <t xml:space="preserve">Environmental</t>
  </si>
  <si>
    <t xml:space="preserve">MEMS microphone (I2S)</t>
  </si>
  <si>
    <t xml:space="preserve">Knowles SPH0645LM4H</t>
  </si>
  <si>
    <t xml:space="preserve">SPH0645LM4H-B</t>
  </si>
  <si>
    <t xml:space="preserve">Knowles / DigiKey</t>
  </si>
  <si>
    <t xml:space="preserve">I2S digital mic. Feeds TinyML acoustic classifier.</t>
  </si>
  <si>
    <t xml:space="preserve">InvenSense ICS-43434</t>
  </si>
  <si>
    <t xml:space="preserve">ICS-43434</t>
  </si>
  <si>
    <t xml:space="preserve">TDK InvenSense / DigiKey</t>
  </si>
  <si>
    <t xml:space="preserve">Better SNR. Drop-in I2S alternative.</t>
  </si>
  <si>
    <t xml:space="preserve">PIR motion</t>
  </si>
  <si>
    <t xml:space="preserve">Panasonic EKMC1603111</t>
  </si>
  <si>
    <t xml:space="preserve">EKMC1603111</t>
  </si>
  <si>
    <t xml:space="preserve">12m detection, low standby current.</t>
  </si>
  <si>
    <t xml:space="preserve">Mini PIR AM312</t>
  </si>
  <si>
    <t xml:space="preserve">AM312</t>
  </si>
  <si>
    <t xml:space="preserve">Generic / Seeed</t>
  </si>
  <si>
    <t xml:space="preserve">Hobby-grade, shorter range.</t>
  </si>
  <si>
    <t xml:space="preserve">9-DoF IMU</t>
  </si>
  <si>
    <t xml:space="preserve">TDK ICM-20948</t>
  </si>
  <si>
    <t xml:space="preserve">ICM-20948</t>
  </si>
  <si>
    <t xml:space="preserve">TDK / DigiKey</t>
  </si>
  <si>
    <t xml:space="preserve">Accel + gyro + mag. Slope, aspect, tamper detection.</t>
  </si>
  <si>
    <t xml:space="preserve">Bosch BNO085</t>
  </si>
  <si>
    <t xml:space="preserve">BNO085</t>
  </si>
  <si>
    <t xml:space="preserve">On-chip sensor fusion, saves MCU cycles.</t>
  </si>
  <si>
    <t xml:space="preserve">Camera (Vista only)</t>
  </si>
  <si>
    <t xml:space="preserve">Camera sensor</t>
  </si>
  <si>
    <t xml:space="preserve">OmniVision OV5640</t>
  </si>
  <si>
    <t xml:space="preserve">OV5640</t>
  </si>
  <si>
    <t xml:space="preserve">OmniVision / Arducam</t>
  </si>
  <si>
    <t xml:space="preserve">5 MP. Adequate for fuel-density and snow classification.</t>
  </si>
  <si>
    <t xml:space="preserve">Arducam Mega 5 MP SPI</t>
  </si>
  <si>
    <t xml:space="preserve">B0401</t>
  </si>
  <si>
    <t xml:space="preserve">Arducam</t>
  </si>
  <si>
    <t xml:space="preserve">SPI camera, easier to integrate without dedicated DVP lines.</t>
  </si>
  <si>
    <t xml:space="preserve">Edge NPU</t>
  </si>
  <si>
    <t xml:space="preserve">Himax WE-I Plus</t>
  </si>
  <si>
    <t xml:space="preserve">HX6537-A</t>
  </si>
  <si>
    <t xml:space="preserve">Himax / SparkFun Edge2</t>
  </si>
  <si>
    <t xml:space="preserve">Low-power NPU for on-device vision ML.</t>
  </si>
  <si>
    <t xml:space="preserve">Seeed Grove Vision AI V2</t>
  </si>
  <si>
    <t xml:space="preserve">101020967</t>
  </si>
  <si>
    <t xml:space="preserve">Seeed</t>
  </si>
  <si>
    <t xml:space="preserve">Integrated camera+NPU module, faster prototyping.</t>
  </si>
  <si>
    <t xml:space="preserve">Power</t>
  </si>
  <si>
    <t xml:space="preserve">Solar panel</t>
  </si>
  <si>
    <t xml:space="preserve">Voltaic 6V 6W</t>
  </si>
  <si>
    <t xml:space="preserve">P106</t>
  </si>
  <si>
    <t xml:space="preserve">Voltaic Systems</t>
  </si>
  <si>
    <t xml:space="preserve">Outdoor-rated, grommeted. Realistic for canopy shade.</t>
  </si>
  <si>
    <t xml:space="preserve">Generic 6V 5W mono</t>
  </si>
  <si>
    <t xml:space="preserve">AliExpress / Amazon</t>
  </si>
  <si>
    <t xml:space="preserve">Cheaper but check weatherproofing and junction box.</t>
  </si>
  <si>
    <t xml:space="preserve">Solar charge controller</t>
  </si>
  <si>
    <t xml:space="preserve">Adafruit bq24074 charger</t>
  </si>
  <si>
    <t xml:space="preserve">4755</t>
  </si>
  <si>
    <t xml:space="preserve">Li-ion MPPT. NOTE: for LiFePO4 use a LiFePO4-specific charger instead.</t>
  </si>
  <si>
    <t xml:space="preserve">SparkFun Sunny Buddy (LT3652)</t>
  </si>
  <si>
    <t xml:space="preserve">PRT-12885</t>
  </si>
  <si>
    <t xml:space="preserve">SparkFun</t>
  </si>
  <si>
    <t xml:space="preserve">LT3652 MPPT. Configurable for Li-ion or LiFePO4.</t>
  </si>
  <si>
    <t xml:space="preserve">Battery pack</t>
  </si>
  <si>
    <t xml:space="preserve">LiFePO4 18650 4-cell + BMS</t>
  </si>
  <si>
    <t xml:space="preserve">IFR18650-1500mAh ×4</t>
  </si>
  <si>
    <t xml:space="preserve">K2 Energy / Mouser</t>
  </si>
  <si>
    <t xml:space="preserve">4 × 1500 mAh LiFePO4 cells + 4S BMS. 12.8 V nominal, safer than Li-ion.</t>
  </si>
  <si>
    <t xml:space="preserve">Protected Li-ion 18650 3-cell</t>
  </si>
  <si>
    <t xml:space="preserve">NCR18650B ×3</t>
  </si>
  <si>
    <t xml:space="preserve">Panasonic / 18650batterystore</t>
  </si>
  <si>
    <t xml:space="preserve">Higher energy density, narrower temp range. Only if LiFePO4 too bulky.</t>
  </si>
  <si>
    <t xml:space="preserve">Low-dropout regulators</t>
  </si>
  <si>
    <t xml:space="preserve">TI TPS62840 (3.3V buck)</t>
  </si>
  <si>
    <t xml:space="preserve">TPS62840DLCR</t>
  </si>
  <si>
    <t xml:space="preserve">TI / DigiKey</t>
  </si>
  <si>
    <t xml:space="preserve">60 nA quiescent. Main 3.3V rail.</t>
  </si>
  <si>
    <t xml:space="preserve">TI TPS62125</t>
  </si>
  <si>
    <t xml:space="preserve">TPS62125DRVR</t>
  </si>
  <si>
    <t xml:space="preserve">11 µA quiescent, wider VIN.</t>
  </si>
  <si>
    <t xml:space="preserve">Deployment UX</t>
  </si>
  <si>
    <t xml:space="preserve">E-ink install display</t>
  </si>
  <si>
    <t xml:space="preserve">Waveshare 1.54" 200×200</t>
  </si>
  <si>
    <t xml:space="preserve">12955</t>
  </si>
  <si>
    <t xml:space="preserve">Waveshare / DigiKey</t>
  </si>
  <si>
    <t xml:space="preserve">SPI e-ink. Confirms node alive before deployer walks away.</t>
  </si>
  <si>
    <t xml:space="preserve">Pervasive Displays 2.66"</t>
  </si>
  <si>
    <t xml:space="preserve">E2266CS0Cx</t>
  </si>
  <si>
    <t xml:space="preserve">Pervasive Displays</t>
  </si>
  <si>
    <t xml:space="preserve">Larger, crisper. More expensive.</t>
  </si>
  <si>
    <t xml:space="preserve">NFC tag (field data dump)</t>
  </si>
  <si>
    <t xml:space="preserve">NXP NTAG 424 DNA</t>
  </si>
  <si>
    <t xml:space="preserve">NT4H2421Gx</t>
  </si>
  <si>
    <t xml:space="preserve">NXP / DigiKey</t>
  </si>
  <si>
    <t xml:space="preserve">Secure NFC; phone taps to pull last 24h buffered data.</t>
  </si>
  <si>
    <t xml:space="preserve">ST25DV04K</t>
  </si>
  <si>
    <t xml:space="preserve">ST25DV04K-JFR6T3</t>
  </si>
  <si>
    <t xml:space="preserve">ST / DigiKey</t>
  </si>
  <si>
    <t xml:space="preserve">Has I2C interface to MCU for two-way exchange.</t>
  </si>
  <si>
    <t xml:space="preserve">User button / capacitive touch</t>
  </si>
  <si>
    <t xml:space="preserve">TTP223 capacitive module</t>
  </si>
  <si>
    <t xml:space="preserve">TTP223</t>
  </si>
  <si>
    <t xml:space="preserve">Generic</t>
  </si>
  <si>
    <t xml:space="preserve">Touch-to-wake / self-test trigger.</t>
  </si>
  <si>
    <t xml:space="preserve">Tactile switch SPST</t>
  </si>
  <si>
    <t xml:space="preserve">SKHHDJA010</t>
  </si>
  <si>
    <t xml:space="preserve">Alps / DigiKey</t>
  </si>
  <si>
    <t xml:space="preserve">Simpler mechanical button if touch flaky.</t>
  </si>
  <si>
    <t xml:space="preserve">Hall-effect arm sensor</t>
  </si>
  <si>
    <t xml:space="preserve">DRV5032 low-power Hall</t>
  </si>
  <si>
    <t xml:space="preserve">DRV5032FADBZR</t>
  </si>
  <si>
    <t xml:space="preserve">Magnet on lanyard arms the node. Eliminates shelf drain.</t>
  </si>
  <si>
    <t xml:space="preserve">A3144 Hall sensor</t>
  </si>
  <si>
    <t xml:space="preserve">A3144</t>
  </si>
  <si>
    <t xml:space="preserve">Allegro / Generic</t>
  </si>
  <si>
    <t xml:space="preserve">Higher standby current but ubiquitous.</t>
  </si>
  <si>
    <t xml:space="preserve">Mechanical</t>
  </si>
  <si>
    <t xml:space="preserve">Outer enclosure</t>
  </si>
  <si>
    <t xml:space="preserve">Polycase WQ-10 IP67</t>
  </si>
  <si>
    <t xml:space="preserve">WQ-10</t>
  </si>
  <si>
    <t xml:space="preserve">Polycase</t>
  </si>
  <si>
    <t xml:space="preserve">Polycarbonate, UV-stable. 10.2" × 6.7" × 4.5".</t>
  </si>
  <si>
    <t xml:space="preserve">Hammond 1554G IP66</t>
  </si>
  <si>
    <t xml:space="preserve">1554G2GYCL</t>
  </si>
  <si>
    <t xml:space="preserve">Hammond / DigiKey</t>
  </si>
  <si>
    <t xml:space="preserve">Glass-filled PC. Smaller options also available.</t>
  </si>
  <si>
    <t xml:space="preserve">Stainless ground spike</t>
  </si>
  <si>
    <t xml:space="preserve">Custom SS316 ~15 cm conical</t>
  </si>
  <si>
    <t xml:space="preserve">Local machine shop / Xometry</t>
  </si>
  <si>
    <t xml:space="preserve">Machined to hold buried sensor cable feedthroughs.</t>
  </si>
  <si>
    <t xml:space="preserve">Galvanized steel stake (cheap)</t>
  </si>
  <si>
    <t xml:space="preserve">Local</t>
  </si>
  <si>
    <t xml:space="preserve">Lower spec; corrodes faster; OK for prototype.</t>
  </si>
  <si>
    <t xml:space="preserve">Mast / upper tube</t>
  </si>
  <si>
    <t xml:space="preserve">1" Schedule-40 aluminum tube ~25 cm</t>
  </si>
  <si>
    <t xml:space="preserve">McMaster / local</t>
  </si>
  <si>
    <t xml:space="preserve">Anemometer + solar-panel mount.</t>
  </si>
  <si>
    <t xml:space="preserve">Fiberglass tube</t>
  </si>
  <si>
    <t xml:space="preserve">Goodwinds / local</t>
  </si>
  <si>
    <t xml:space="preserve">RF-transparent alt if radio antenna is inside mast.</t>
  </si>
  <si>
    <t xml:space="preserve">Cable glands (IP67)</t>
  </si>
  <si>
    <t xml:space="preserve">M16 IP67 cable gland ×4</t>
  </si>
  <si>
    <t xml:space="preserve">GLD-M16-IP67</t>
  </si>
  <si>
    <t xml:space="preserve">Heyco / DigiKey</t>
  </si>
  <si>
    <t xml:space="preserve">One per sensor cable entry.</t>
  </si>
  <si>
    <t xml:space="preserve">Generic M12/M16 bag</t>
  </si>
  <si>
    <t xml:space="preserve">GLAND-M</t>
  </si>
  <si>
    <t xml:space="preserve">Amazon / AliExpress</t>
  </si>
  <si>
    <t xml:space="preserve">Much cheaper; verify IP rating before trusting.</t>
  </si>
  <si>
    <t xml:space="preserve">Desiccant pack (replaceable)</t>
  </si>
  <si>
    <t xml:space="preserve">TropiPak 10g ×5</t>
  </si>
  <si>
    <t xml:space="preserve">TROPIPAK-10</t>
  </si>
  <si>
    <t xml:space="preserve">Süd-Chemie / Amazon</t>
  </si>
  <si>
    <t xml:space="preserve">Indicator silica gel. Replace at calibration visits.</t>
  </si>
  <si>
    <t xml:space="preserve">Generic silica packs</t>
  </si>
  <si>
    <t xml:space="preserve">SILICA-10</t>
  </si>
  <si>
    <t xml:space="preserve">Amazon</t>
  </si>
  <si>
    <t xml:space="preserve">Cheap alt.</t>
  </si>
  <si>
    <t xml:space="preserve">Antenna (LoRa / cellular)</t>
  </si>
  <si>
    <t xml:space="preserve">Taoglas TG.30 whip</t>
  </si>
  <si>
    <t xml:space="preserve">TG.30.8113</t>
  </si>
  <si>
    <t xml:space="preserve">Taoglas / DigiKey</t>
  </si>
  <si>
    <t xml:space="preserve">868/915 MHz LoRa, SMA, weatherproof.</t>
  </si>
  <si>
    <t xml:space="preserve">RAK Wireless 5 dBi fiberglass</t>
  </si>
  <si>
    <t xml:space="preserve">RAK-915-FG</t>
  </si>
  <si>
    <t xml:space="preserve">RAKwireless</t>
  </si>
  <si>
    <t xml:space="preserve">Higher gain for longer range.</t>
  </si>
  <si>
    <t xml:space="preserve">Satellite (Sentinel+/Vista)</t>
  </si>
  <si>
    <t xml:space="preserve">Satellite modem</t>
  </si>
  <si>
    <t xml:space="preserve">Swarm M138 tile</t>
  </si>
  <si>
    <t xml:space="preserve">M138-01</t>
  </si>
  <si>
    <t xml:space="preserve">Swarm Technologies / SparkFun</t>
  </si>
  <si>
    <t xml:space="preserve">Cheap hardware + subscription (~$60/yr). Limited payload but fine for alerts.</t>
  </si>
  <si>
    <t xml:space="preserve">Astrocast Astronode S+</t>
  </si>
  <si>
    <t xml:space="preserve">ASTRONODE-S+</t>
  </si>
  <si>
    <t xml:space="preserve">Astrocast</t>
  </si>
  <si>
    <t xml:space="preserve">L-band IoT satcom, global coverage. Subscription required.</t>
  </si>
  <si>
    <t xml:space="preserve">Cellular (optional)</t>
  </si>
  <si>
    <t xml:space="preserve">LTE-M / NB-IoT modem</t>
  </si>
  <si>
    <t xml:space="preserve">Sequans Monarch GM01Q</t>
  </si>
  <si>
    <t xml:space="preserve">GM01Q-B27P</t>
  </si>
  <si>
    <t xml:space="preserve">Sequans / SparkFun</t>
  </si>
  <si>
    <t xml:space="preserve">Use where cellular coverage exists. Carrier-dependent.</t>
  </si>
  <si>
    <t xml:space="preserve">Quectel BG95-M3</t>
  </si>
  <si>
    <t xml:space="preserve">BG95-M3</t>
  </si>
  <si>
    <t xml:space="preserve">Cheaper, slightly higher power.</t>
  </si>
  <si>
    <t xml:space="preserve">Per-SKU subtotals (Primary prices, core components)</t>
  </si>
  <si>
    <t xml:space="preserve">Scout tier — total primary</t>
  </si>
  <si>
    <t xml:space="preserve">Sentinel tier — total primary</t>
  </si>
  <si>
    <t xml:space="preserve">Vista tier — total primary</t>
  </si>
  <si>
    <t xml:space="preserve">NOTE: Per-unit qty-1 prices. Volume pricing at 100/1000 units is significantly lower. Mechanical (enclosure, stake, mast) priced per unit — these are also mostly Scout-level inclusions.</t>
  </si>
  <si>
    <t xml:space="preserve">Phase 1 — Single-node Bench-Proof Kit</t>
  </si>
  <si>
    <t xml:space="preserve">Everything needed to build ONE node on a workbench and stream FWI to a map. Roadmap weeks 6–16.</t>
  </si>
  <si>
    <t xml:space="preserve">Heltec WiFi LoRa 32 V3 dev board</t>
  </si>
  <si>
    <t xml:space="preserve">Mouser / Heltec</t>
  </si>
  <si>
    <t xml:space="preserve">ESP32-S3 + SX1262 combo — fastest path to a working Phase 1 node.</t>
  </si>
  <si>
    <t xml:space="preserve">SHT45 breakout</t>
  </si>
  <si>
    <t xml:space="preserve">SEN-18607</t>
  </si>
  <si>
    <t xml:space="preserve">Air temp + RH. Core FWI input.</t>
  </si>
  <si>
    <t xml:space="preserve">BMP390 breakout</t>
  </si>
  <si>
    <t xml:space="preserve">4816</t>
  </si>
  <si>
    <t xml:space="preserve">Barometric pressure.</t>
  </si>
  <si>
    <t xml:space="preserve">DS18B20 waterproof probe (1 m cable)</t>
  </si>
  <si>
    <t xml:space="preserve">DS18B20-WP</t>
  </si>
  <si>
    <t xml:space="preserve">Generic / DigiKey</t>
  </si>
  <si>
    <t xml:space="preserve">Two soil-temp probes for shallow + deep.</t>
  </si>
  <si>
    <t xml:space="preserve">Capacitive soil-moisture probe</t>
  </si>
  <si>
    <t xml:space="preserve">Phase 1 only. Drift-prone; fine for bench validation.</t>
  </si>
  <si>
    <t xml:space="preserve">Davis 6410 anemometer</t>
  </si>
  <si>
    <t xml:space="preserve">Cheapest usable wind sensor with direction. Defer FT205 until Phase 3 budget.</t>
  </si>
  <si>
    <t xml:space="preserve">Tipping-bucket rain gauge</t>
  </si>
  <si>
    <t xml:space="preserve">Solid-state, low maintenance.</t>
  </si>
  <si>
    <t xml:space="preserve">Plantower PMS7003 + adapter cable</t>
  </si>
  <si>
    <t xml:space="preserve">DigiKey</t>
  </si>
  <si>
    <t xml:space="preserve">Smoke / PM2.5 early detection.</t>
  </si>
  <si>
    <t xml:space="preserve">MLX90640 32x24 thermal breakout</t>
  </si>
  <si>
    <t xml:space="preserve">4469</t>
  </si>
  <si>
    <t xml:space="preserve">IR array for hotspot detection.</t>
  </si>
  <si>
    <t xml:space="preserve">AS3935 lightning breakout</t>
  </si>
  <si>
    <t xml:space="preserve">Embedded Adventures</t>
  </si>
  <si>
    <t xml:space="preserve">Optional Phase 1 — adds real value quickly.</t>
  </si>
  <si>
    <t xml:space="preserve">u-blox MAX-M10S breakout</t>
  </si>
  <si>
    <t xml:space="preserve">SEN-18037</t>
  </si>
  <si>
    <t xml:space="preserve">GPS + time.</t>
  </si>
  <si>
    <t xml:space="preserve">9-DoF IMU breakout (ICM-20948)</t>
  </si>
  <si>
    <t xml:space="preserve">4554</t>
  </si>
  <si>
    <t xml:space="preserve">Slope, aspect, tamper detection.</t>
  </si>
  <si>
    <t xml:space="preserve">LiFePO4 18650 4-cell pack + BMS</t>
  </si>
  <si>
    <t xml:space="preserve">K2 / assembler</t>
  </si>
  <si>
    <t xml:space="preserve">Safer than Li-ion; works better in cold forest temps.</t>
  </si>
  <si>
    <t xml:space="preserve">Voltaic 6V 6W solar panel</t>
  </si>
  <si>
    <t xml:space="preserve">With outdoor-rated cable.</t>
  </si>
  <si>
    <t xml:space="preserve">SparkFun Sunny Buddy charger</t>
  </si>
  <si>
    <t xml:space="preserve">MPPT solar charge controller.</t>
  </si>
  <si>
    <t xml:space="preserve">Polycase WQ-10 IP67 enclosure</t>
  </si>
  <si>
    <t xml:space="preserve">Main electronics housing.</t>
  </si>
  <si>
    <t xml:space="preserve">Mast + stake + cable glands + misc</t>
  </si>
  <si>
    <t xml:space="preserve">local shop + McMaster</t>
  </si>
  <si>
    <t xml:space="preserve">Rough allowance for mechanical bits.</t>
  </si>
  <si>
    <t xml:space="preserve">LoRaWAN indoor gateway (dev only)</t>
  </si>
  <si>
    <t xml:space="preserve">RAK7268</t>
  </si>
  <si>
    <t xml:space="preserve">Dev-time gateway on your workbench. NOT the outdoor PYRA Relay.</t>
  </si>
  <si>
    <t xml:space="preserve">LiFePO4-compatible benchtop PSU or dev power supply</t>
  </si>
  <si>
    <t xml:space="preserve">PPS2116B or similar</t>
  </si>
  <si>
    <t xml:space="preserve">For bench validation before solar install.</t>
  </si>
  <si>
    <t xml:space="preserve">Misc: USB-C cables, jumper wires, breadboard, SMA pigtails, headers</t>
  </si>
  <si>
    <t xml:space="preserve">asst.</t>
  </si>
  <si>
    <t xml:space="preserve">Adafruit / DigiKey</t>
  </si>
  <si>
    <t xml:space="preserve">Prototyping consumables.</t>
  </si>
  <si>
    <t xml:space="preserve">Hardware subtotal:</t>
  </si>
  <si>
    <t xml:space="preserve">Shipping + duties + tax (approx 15%):</t>
  </si>
  <si>
    <t xml:space="preserve">Phase 1 kit estimate (USD):</t>
  </si>
  <si>
    <t xml:space="preserve">Notes:</t>
  </si>
  <si>
    <t xml:space="preserve">• This kit intentionally skips the satellite modem, camera, e-ink display, and the research-grade soil/wind sensors — those arrive in later phases.</t>
  </si>
  <si>
    <t xml:space="preserve">• Expect to spend 20–30% of this again on reworks: extra connectors, failed sensors, a second solar panel after the first blows over in testing.</t>
  </si>
  <si>
    <t xml:space="preserve">• For Montréal / Canada shipping: DigiKey (Winnipeg), Mouser (ships via Memphis), and Adafruit (NY) all route reasonably. SparkFun via Canada Post is slower.</t>
  </si>
  <si>
    <t xml:space="preserve">• Heltec and RAK order direct from their stores; allow 2–3 weeks.</t>
  </si>
  <si>
    <t xml:space="preserve">• Davis anemometer is the longest-lead-time item in this kit; order it first.</t>
  </si>
  <si>
    <t xml:space="preserve">PYRA Relay — LoRaWAN gateway BOM</t>
  </si>
  <si>
    <t xml:space="preserve">One gateway serves ~100 nodes in a 5–10 km radius.</t>
  </si>
  <si>
    <t xml:space="preserve">RAK7271 outdoor LoRaWAN gateway</t>
  </si>
  <si>
    <t xml:space="preserve">RAK7271</t>
  </si>
  <si>
    <t xml:space="preserve">8-channel, IP67, PoE + solar capable. Industry standard outdoor GW.</t>
  </si>
  <si>
    <t xml:space="preserve">Alt: MultiTech Conduit AP 300 (premium)</t>
  </si>
  <si>
    <t xml:space="preserve">MTCAP3-915</t>
  </si>
  <si>
    <t xml:space="preserve">MultiTech / DigiKey</t>
  </si>
  <si>
    <t xml:space="preserve">Enterprise-grade alt; better over-the-air firmware mgmt.</t>
  </si>
  <si>
    <t xml:space="preserve">Solar panel 60 W monocrystalline</t>
  </si>
  <si>
    <t xml:space="preserve">RNG-60D-SS</t>
  </si>
  <si>
    <t xml:space="preserve">Renogy</t>
  </si>
  <si>
    <t xml:space="preserve">Gateway power budget is ~10× a node.</t>
  </si>
  <si>
    <t xml:space="preserve">Solar charge controller 20A MPPT</t>
  </si>
  <si>
    <t xml:space="preserve">Rover 20A</t>
  </si>
  <si>
    <t xml:space="preserve">LiFePO4 12V 30Ah battery</t>
  </si>
  <si>
    <t xml:space="preserve">BT-12V30-LFP</t>
  </si>
  <si>
    <t xml:space="preserve">Bioenno / Canadian Energy</t>
  </si>
  <si>
    <t xml:space="preserve">~3–5 days autonomy during cloud cover.</t>
  </si>
  <si>
    <t xml:space="preserve">Cellular backhaul modem (LTE CAT-M)</t>
  </si>
  <si>
    <t xml:space="preserve">MTR-MNG2</t>
  </si>
  <si>
    <t xml:space="preserve">MultiTech</t>
  </si>
  <si>
    <t xml:space="preserve">Bridges gateway to internet where Wi-Fi absent.</t>
  </si>
  <si>
    <t xml:space="preserve">Alt: Starlink Mini kit + service</t>
  </si>
  <si>
    <t xml:space="preserve">Mini</t>
  </si>
  <si>
    <t xml:space="preserve">Starlink</t>
  </si>
  <si>
    <t xml:space="preserve">Where cellular unavailable. Service ~$50–150/mo.</t>
  </si>
  <si>
    <t xml:space="preserve">Satellite backup modem</t>
  </si>
  <si>
    <t xml:space="preserve">M138</t>
  </si>
  <si>
    <t xml:space="preserve">Swarm / SparkFun</t>
  </si>
  <si>
    <t xml:space="preserve">Used for heartbeat + critical alerts only if main backhaul fails.</t>
  </si>
  <si>
    <t xml:space="preserve">Omni LoRa antenna 8 dBi</t>
  </si>
  <si>
    <t xml:space="preserve">RAK-915-ODBi</t>
  </si>
  <si>
    <t xml:space="preserve">Higher gain for wider coverage.</t>
  </si>
  <si>
    <t xml:space="preserve">Pole mount kit + lightning arrestor</t>
  </si>
  <si>
    <t xml:space="preserve">N-type arrestor + mast</t>
  </si>
  <si>
    <t xml:space="preserve">PolyPhaser / local</t>
  </si>
  <si>
    <t xml:space="preserve">Surge protection on antenna feed is not optional.</t>
  </si>
  <si>
    <t xml:space="preserve">IP67 enclosure for extras + wiring</t>
  </si>
  <si>
    <t xml:space="preserve">1554P</t>
  </si>
  <si>
    <t xml:space="preserve">Houses charge controller, cellular modem, etc.</t>
  </si>
  <si>
    <t xml:space="preserve">Installation + misc (cabling, straps, GPS antenna)</t>
  </si>
  <si>
    <t xml:space="preserve">local</t>
  </si>
  <si>
    <t xml:space="preserve">Gateway subtotal (primary path):</t>
  </si>
  <si>
    <t xml:space="preserve">Procurement — Vendors, Lead Times, Canadian Considerations</t>
  </si>
  <si>
    <t xml:space="preserve">Primary vendors</t>
  </si>
  <si>
    <t xml:space="preserve">Canadian DC in Winnipeg; fastest Canadian delivery. Best for Bosch, TI, Sensirion, Molex, Microchip.</t>
  </si>
  <si>
    <t xml:space="preserve">Mouser</t>
  </si>
  <si>
    <t xml:space="preserve">US-based but reliable Canada shipping. Good for Heltec, RAK, Nordic, Semtech.</t>
  </si>
  <si>
    <t xml:space="preserve">US. Breakouts for fast prototyping. Ships to Canada via USPS/DHL.</t>
  </si>
  <si>
    <t xml:space="preserve">US. Good dev boards (Sunny Buddy, SHT breakouts). Slower to Canada than DigiKey.</t>
  </si>
  <si>
    <t xml:space="preserve">Seeed Studio</t>
  </si>
  <si>
    <t xml:space="preserve">China/Shenzhen. Cheapest capacitive soil sensors, Grove modules. Longer lead time.</t>
  </si>
  <si>
    <t xml:space="preserve">Hong Kong. Direct-from-RAK shop or Mouser. Allow 2–3 weeks direct.</t>
  </si>
  <si>
    <t xml:space="preserve">Heltec</t>
  </si>
  <si>
    <t xml:space="preserve">Shenzhen. LoRa32 V3 available via Mouser (faster) or AliExpress (cheaper, slower).</t>
  </si>
  <si>
    <t xml:space="preserve">US, soil/weather research-grade. Direct sales, quote process, 2–4 week lead.</t>
  </si>
  <si>
    <t xml:space="preserve">US. Long-established weather sensors. Canadian reps available.</t>
  </si>
  <si>
    <t xml:space="preserve">US, research-grade radiation sensors. Direct.</t>
  </si>
  <si>
    <t xml:space="preserve">Canadian considerations</t>
  </si>
  <si>
    <t xml:space="preserve">ISED Certification</t>
  </si>
  <si>
    <t xml:space="preserve">Any radio transmitter deployed in Canada needs an ISED (formerly Industry Canada) certification number. Most LoRa/cellular modules listed have both FCC and ISED. VERIFY per module before designing in.</t>
  </si>
  <si>
    <t xml:space="preserve">Duty &amp; Tax</t>
  </si>
  <si>
    <t xml:space="preserve">Components from US vendors generally enter duty-free under CUSMA, but GST/QST (~14.975% in Quebec) applies. Sensors labeled as scientific instruments may qualify for duty exemptions — ask broker.</t>
  </si>
  <si>
    <t xml:space="preserve">Quebec Law 25</t>
  </si>
  <si>
    <t xml:space="preserve">Applies to any personal data (including imagery or identifiable audio). Revisit at each SKU — the Vista camera especially.</t>
  </si>
  <si>
    <t xml:space="preserve">Provincial partners</t>
  </si>
  <si>
    <t xml:space="preserve">SOPFEU — Société de protection des forêts contre le feu (Val-d'Or + regional bases). MRNF Quebec forestry ministry. Université Laval forestry + Centre d'étude de la forêt.</t>
  </si>
  <si>
    <t xml:space="preserve">Local fab</t>
  </si>
  <si>
    <t xml:space="preserve">Montréal has strong hardware ecosystem — notManyMakerspace, Ecofab, Formlabs resellers. Stainless stakes: LaSalle / Ville-Émard machine shops typical.</t>
  </si>
  <si>
    <t xml:space="preserve">Lead time warnings</t>
  </si>
  <si>
    <t xml:space="preserve">Ultrasonic anemometers</t>
  </si>
  <si>
    <t xml:space="preserve">FT Technologies: 4–8 week lead, minimum order quantities may apply. Quote process.</t>
  </si>
  <si>
    <t xml:space="preserve">Satellite modems</t>
  </si>
  <si>
    <t xml:space="preserve">Swarm tiles intermittent stock — keep an eye on SparkFun and Swarm direct. Astrocast module supply variable.</t>
  </si>
  <si>
    <t xml:space="preserve">TEROS 10 soil probes</t>
  </si>
  <si>
    <t xml:space="preserve">Meter Group typically 2–4 weeks. Ask for student/research pricing via Université Laval or UQAM affiliation.</t>
  </si>
  <si>
    <t xml:space="preserve">Custom machining</t>
  </si>
  <si>
    <t xml:space="preserve">Stainless stakes + mast tubes: plan 2 weeks with local shop; Xometry ~1 week but 2–3× price.</t>
  </si>
  <si>
    <t xml:space="preserve">Secure elements</t>
  </si>
  <si>
    <t xml:space="preserve">ATECC608B pre-provisioned variants (TNGTLS, TCSM) sometimes allocation-restricted. DigiKey usually stocks the generic part.</t>
  </si>
  <si>
    <t xml:space="preserve">Volume pricing</t>
  </si>
  <si>
    <t xml:space="preserve">Qty 100</t>
  </si>
  <si>
    <t xml:space="preserve">Most semiconductors drop 30–50% at qty-100 from DigiKey/Mouser. Negotiate directly with distributors above qty 1000.</t>
  </si>
  <si>
    <t xml:space="preserve">Qty 1000+</t>
  </si>
  <si>
    <t xml:space="preserve">Manufacturer reps become worth engaging: Bosch, Sensirion, TDK, u-blox all have Canadian distis with FAE support.</t>
  </si>
  <si>
    <t xml:space="preserve">Mechanical volume</t>
  </si>
  <si>
    <t xml:space="preserve">Custom stake + mast + machined parts at qty 1000+ — move from Xometry to a dedicated contract manufacturer; expect 50–70% per-unit savings.</t>
  </si>
  <si>
    <t xml:space="preserve">LiFePO4 cells</t>
  </si>
  <si>
    <t xml:space="preserve">Buy in bulk from K2 Energy, A123, or SinoPoly. MOQ typically 100 cells; plan for ~$4/cell at volume.</t>
  </si>
  <si>
    <t xml:space="preserve">Safe-to-ignore for Phase 1</t>
  </si>
  <si>
    <t xml:space="preserve">Camera + NPU</t>
  </si>
  <si>
    <t xml:space="preserve">Defer the entire Vista stack. Don't spend time on it until Phase 4.</t>
  </si>
  <si>
    <t xml:space="preserve">Defer until Phase 3 operational pilot.</t>
  </si>
  <si>
    <t xml:space="preserve">E-ink display, NFC, Hall arm sensor</t>
  </si>
  <si>
    <t xml:space="preserve">Nice-to-haves for Phase 2 deployment workflow; skip in Phase 1 bench proof.</t>
  </si>
  <si>
    <t xml:space="preserve">Implement TLS key storage in software for Phase 1. Move to ATECC608B before Phase 2 fleet deployment.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</si>
</sst>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5F"/>
      <name val="Arial"/>
      <family val="0"/>
      <charset val="1"/>
    </font>
    <font>
      <i val="true"/>
      <sz val="11"/>
      <color rgb="FF60606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06060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i val="true"/>
      <sz val="10"/>
      <color rgb="FF60606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2"/>
    </font>
    <font>
      <b val="true"/>
      <sz val="13"/>
      <color rgb="FF1F3A5F"/>
      <name val="Arial"/>
      <family val="0"/>
      <charset val="1"/>
    </font>
    <font>
      <b val="true"/>
      <sz val="1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833A"/>
        <bgColor rgb="FFFF9900"/>
      </patternFill>
    </fill>
    <fill>
      <patternFill patternType="solid">
        <fgColor rgb="FFD4F1D4"/>
        <bgColor rgb="FFD9E6F2"/>
      </patternFill>
    </fill>
    <fill>
      <patternFill patternType="solid">
        <fgColor rgb="FFFFF3CD"/>
        <bgColor rgb="FFFFF4E5"/>
      </patternFill>
    </fill>
    <fill>
      <patternFill patternType="solid">
        <fgColor rgb="FFF8D7DA"/>
        <bgColor rgb="FFD9E6F2"/>
      </patternFill>
    </fill>
    <fill>
      <patternFill patternType="solid">
        <fgColor rgb="FFF5F5F5"/>
        <bgColor rgb="FFFFF4E5"/>
      </patternFill>
    </fill>
    <fill>
      <patternFill patternType="solid">
        <fgColor rgb="FFD9E6F2"/>
        <bgColor rgb="FFD4F1D4"/>
      </patternFill>
    </fill>
    <fill>
      <patternFill patternType="solid">
        <fgColor rgb="FFFFF4E5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D9E6F2"/>
      <rgbColor rgb="FF660066"/>
      <rgbColor rgb="FFE8833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F1D4"/>
      <rgbColor rgb="FFFFF4E5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6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8" hidden="false" customHeight="true" outlineLevel="0" collapsed="false">
      <c r="A4" s="3"/>
      <c r="B4" s="4"/>
    </row>
    <row r="5" customFormat="false" ht="39.75" hidden="false" customHeight="true" outlineLevel="0" collapsed="false">
      <c r="A5" s="3" t="s">
        <v>2</v>
      </c>
      <c r="B5" s="4" t="s">
        <v>3</v>
      </c>
    </row>
    <row r="6" customFormat="false" ht="18" hidden="false" customHeight="true" outlineLevel="0" collapsed="false">
      <c r="A6" s="3"/>
      <c r="B6" s="4"/>
    </row>
    <row r="7" customFormat="false" ht="39.75" hidden="false" customHeight="true" outlineLevel="0" collapsed="false">
      <c r="A7" s="3" t="s">
        <v>4</v>
      </c>
      <c r="B7" s="4" t="s">
        <v>5</v>
      </c>
    </row>
    <row r="8" customFormat="false" ht="39.75" hidden="false" customHeight="true" outlineLevel="0" collapsed="false">
      <c r="A8" s="3"/>
      <c r="B8" s="4" t="s">
        <v>6</v>
      </c>
    </row>
    <row r="9" customFormat="false" ht="39.75" hidden="false" customHeight="true" outlineLevel="0" collapsed="false">
      <c r="A9" s="3"/>
      <c r="B9" s="4" t="s">
        <v>7</v>
      </c>
    </row>
    <row r="10" customFormat="false" ht="39.75" hidden="false" customHeight="true" outlineLevel="0" collapsed="false">
      <c r="A10" s="3"/>
      <c r="B10" s="4" t="s">
        <v>8</v>
      </c>
    </row>
    <row r="11" customFormat="false" ht="18" hidden="false" customHeight="true" outlineLevel="0" collapsed="false">
      <c r="A11" s="3"/>
      <c r="B11" s="4"/>
    </row>
    <row r="12" customFormat="false" ht="39.75" hidden="false" customHeight="true" outlineLevel="0" collapsed="false">
      <c r="A12" s="3" t="s">
        <v>9</v>
      </c>
      <c r="B12" s="4" t="s">
        <v>10</v>
      </c>
    </row>
    <row r="13" customFormat="false" ht="18" hidden="false" customHeight="true" outlineLevel="0" collapsed="false">
      <c r="A13" s="3"/>
      <c r="B13" s="4"/>
    </row>
    <row r="14" customFormat="false" ht="39.75" hidden="false" customHeight="true" outlineLevel="0" collapsed="false">
      <c r="A14" s="3" t="s">
        <v>11</v>
      </c>
      <c r="B14" s="4" t="s">
        <v>12</v>
      </c>
    </row>
    <row r="15" customFormat="false" ht="18" hidden="false" customHeight="true" outlineLevel="0" collapsed="false">
      <c r="A15" s="3"/>
      <c r="B15" s="4"/>
    </row>
    <row r="16" customFormat="false" ht="39.75" hidden="false" customHeight="true" outlineLevel="0" collapsed="false">
      <c r="A16" s="3" t="s">
        <v>13</v>
      </c>
      <c r="B16" s="4" t="s">
        <v>14</v>
      </c>
    </row>
    <row r="17" customFormat="false" ht="39.75" hidden="false" customHeight="true" outlineLevel="0" collapsed="false">
      <c r="A17" s="3"/>
      <c r="B17" s="4" t="s">
        <v>15</v>
      </c>
    </row>
    <row r="18" customFormat="false" ht="39.75" hidden="false" customHeight="true" outlineLevel="0" collapsed="false">
      <c r="A18" s="3"/>
      <c r="B18" s="4" t="s">
        <v>16</v>
      </c>
    </row>
    <row r="19" customFormat="false" ht="39.75" hidden="false" customHeight="true" outlineLevel="0" collapsed="false">
      <c r="A19" s="3"/>
      <c r="B19" s="4" t="s">
        <v>17</v>
      </c>
    </row>
    <row r="20" customFormat="false" ht="18" hidden="false" customHeight="true" outlineLevel="0" collapsed="false">
      <c r="A20" s="3"/>
      <c r="B20" s="4"/>
    </row>
    <row r="21" customFormat="false" ht="39.75" hidden="false" customHeight="true" outlineLevel="0" collapsed="false">
      <c r="A21" s="3" t="s">
        <v>18</v>
      </c>
      <c r="B21" s="4" t="s">
        <v>19</v>
      </c>
    </row>
    <row r="22" customFormat="false" ht="18" hidden="false" customHeight="true" outlineLevel="0" collapsed="false">
      <c r="A22" s="3"/>
      <c r="B22" s="4"/>
    </row>
    <row r="23" customFormat="false" ht="39.75" hidden="false" customHeight="true" outlineLevel="0" collapsed="false">
      <c r="A23" s="3" t="s">
        <v>20</v>
      </c>
      <c r="B23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48"/>
    <col collapsed="false" customWidth="true" hidden="false" outlineLevel="0" max="8" min="8" style="0" width="26"/>
    <col collapsed="false" customWidth="true" hidden="false" outlineLevel="0" max="10" min="9" style="0" width="22"/>
    <col collapsed="false" customWidth="true" hidden="false" outlineLevel="0" max="11" min="11" style="0" width="10"/>
    <col collapsed="false" customWidth="true" hidden="false" outlineLevel="0" max="12" min="12" style="0" width="40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8"/>
  </cols>
  <sheetData>
    <row r="1" customFormat="false" ht="31.5" hidden="false" customHeight="tru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5" t="s">
        <v>33</v>
      </c>
      <c r="M1" s="5" t="s">
        <v>34</v>
      </c>
      <c r="N1" s="5" t="s">
        <v>35</v>
      </c>
      <c r="O1" s="5" t="s">
        <v>36</v>
      </c>
    </row>
    <row r="2" customFormat="false" ht="19.5" hidden="false" customHeight="true" outlineLevel="0" collapsed="false">
      <c r="A2" s="6" t="s">
        <v>37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customFormat="false" ht="42" hidden="false" customHeight="true" outlineLevel="0" collapsed="false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8" t="n">
        <v>30</v>
      </c>
      <c r="G3" s="7" t="s">
        <v>42</v>
      </c>
      <c r="H3" s="7" t="s">
        <v>43</v>
      </c>
      <c r="I3" s="7" t="s">
        <v>44</v>
      </c>
      <c r="J3" s="7" t="s">
        <v>45</v>
      </c>
      <c r="K3" s="8" t="n">
        <v>35</v>
      </c>
      <c r="L3" s="7" t="s">
        <v>46</v>
      </c>
      <c r="M3" s="9" t="s">
        <v>47</v>
      </c>
      <c r="N3" s="10" t="s">
        <v>47</v>
      </c>
      <c r="O3" s="11" t="s">
        <v>47</v>
      </c>
    </row>
    <row r="4" customFormat="false" ht="39" hidden="false" customHeight="true" outlineLevel="0" collapsed="false">
      <c r="A4" s="12" t="s">
        <v>37</v>
      </c>
      <c r="B4" s="12" t="s">
        <v>48</v>
      </c>
      <c r="C4" s="12" t="s">
        <v>49</v>
      </c>
      <c r="D4" s="12" t="s">
        <v>49</v>
      </c>
      <c r="E4" s="12" t="s">
        <v>50</v>
      </c>
      <c r="F4" s="13" t="n">
        <v>4</v>
      </c>
      <c r="G4" s="12" t="s">
        <v>51</v>
      </c>
      <c r="H4" s="12" t="s">
        <v>52</v>
      </c>
      <c r="I4" s="12" t="s">
        <v>53</v>
      </c>
      <c r="J4" s="12" t="s">
        <v>54</v>
      </c>
      <c r="K4" s="13" t="n">
        <v>25</v>
      </c>
      <c r="L4" s="12" t="s">
        <v>55</v>
      </c>
      <c r="M4" s="9" t="s">
        <v>47</v>
      </c>
      <c r="N4" s="10" t="s">
        <v>47</v>
      </c>
      <c r="O4" s="11" t="s">
        <v>47</v>
      </c>
    </row>
    <row r="5" customFormat="false" ht="33.75" hidden="false" customHeight="true" outlineLevel="0" collapsed="false">
      <c r="A5" s="7" t="s">
        <v>37</v>
      </c>
      <c r="B5" s="7" t="s">
        <v>56</v>
      </c>
      <c r="C5" s="7" t="s">
        <v>57</v>
      </c>
      <c r="D5" s="7" t="s">
        <v>58</v>
      </c>
      <c r="E5" s="7" t="s">
        <v>59</v>
      </c>
      <c r="F5" s="8" t="n">
        <v>10</v>
      </c>
      <c r="G5" s="7" t="s">
        <v>60</v>
      </c>
      <c r="H5" s="7" t="s">
        <v>61</v>
      </c>
      <c r="I5" s="7" t="s">
        <v>62</v>
      </c>
      <c r="J5" s="7" t="s">
        <v>63</v>
      </c>
      <c r="K5" s="8" t="n">
        <v>7</v>
      </c>
      <c r="L5" s="7" t="s">
        <v>64</v>
      </c>
      <c r="M5" s="9" t="s">
        <v>47</v>
      </c>
      <c r="N5" s="10" t="s">
        <v>47</v>
      </c>
      <c r="O5" s="11" t="s">
        <v>47</v>
      </c>
    </row>
    <row r="6" customFormat="false" ht="33.75" hidden="false" customHeight="true" outlineLevel="0" collapsed="false">
      <c r="A6" s="12" t="s">
        <v>37</v>
      </c>
      <c r="B6" s="12" t="s">
        <v>65</v>
      </c>
      <c r="C6" s="12" t="s">
        <v>66</v>
      </c>
      <c r="D6" s="12" t="s">
        <v>67</v>
      </c>
      <c r="E6" s="12" t="s">
        <v>68</v>
      </c>
      <c r="F6" s="13" t="n">
        <v>3.5</v>
      </c>
      <c r="G6" s="12" t="s">
        <v>69</v>
      </c>
      <c r="H6" s="12" t="s">
        <v>70</v>
      </c>
      <c r="I6" s="12" t="s">
        <v>70</v>
      </c>
      <c r="J6" s="12" t="s">
        <v>71</v>
      </c>
      <c r="K6" s="13" t="n">
        <v>2.5</v>
      </c>
      <c r="L6" s="12" t="s">
        <v>72</v>
      </c>
      <c r="M6" s="9" t="s">
        <v>47</v>
      </c>
      <c r="N6" s="10" t="s">
        <v>47</v>
      </c>
      <c r="O6" s="11" t="s">
        <v>47</v>
      </c>
    </row>
    <row r="7" customFormat="false" ht="36" hidden="false" customHeight="true" outlineLevel="0" collapsed="false">
      <c r="A7" s="7" t="s">
        <v>37</v>
      </c>
      <c r="B7" s="7" t="s">
        <v>73</v>
      </c>
      <c r="C7" s="7" t="s">
        <v>74</v>
      </c>
      <c r="D7" s="7" t="s">
        <v>75</v>
      </c>
      <c r="E7" s="7" t="s">
        <v>76</v>
      </c>
      <c r="F7" s="8" t="n">
        <v>1.1</v>
      </c>
      <c r="G7" s="7" t="s">
        <v>77</v>
      </c>
      <c r="H7" s="7" t="s">
        <v>78</v>
      </c>
      <c r="I7" s="7" t="s">
        <v>79</v>
      </c>
      <c r="J7" s="7" t="s">
        <v>80</v>
      </c>
      <c r="K7" s="8" t="n">
        <v>4.5</v>
      </c>
      <c r="L7" s="7" t="s">
        <v>81</v>
      </c>
      <c r="M7" s="9" t="s">
        <v>47</v>
      </c>
      <c r="N7" s="10" t="s">
        <v>47</v>
      </c>
      <c r="O7" s="11" t="s">
        <v>47</v>
      </c>
    </row>
    <row r="8" customFormat="false" ht="30" hidden="false" customHeight="true" outlineLevel="0" collapsed="false">
      <c r="A8" s="12" t="s">
        <v>37</v>
      </c>
      <c r="B8" s="12" t="s">
        <v>82</v>
      </c>
      <c r="C8" s="12" t="s">
        <v>83</v>
      </c>
      <c r="D8" s="12" t="s">
        <v>84</v>
      </c>
      <c r="E8" s="12" t="s">
        <v>85</v>
      </c>
      <c r="F8" s="13" t="n">
        <v>22</v>
      </c>
      <c r="G8" s="12" t="s">
        <v>86</v>
      </c>
      <c r="H8" s="12" t="s">
        <v>87</v>
      </c>
      <c r="I8" s="12" t="s">
        <v>88</v>
      </c>
      <c r="J8" s="12" t="s">
        <v>89</v>
      </c>
      <c r="K8" s="13" t="n">
        <v>10</v>
      </c>
      <c r="L8" s="12" t="s">
        <v>90</v>
      </c>
      <c r="M8" s="9" t="s">
        <v>47</v>
      </c>
      <c r="N8" s="10" t="s">
        <v>47</v>
      </c>
      <c r="O8" s="11" t="s">
        <v>47</v>
      </c>
    </row>
    <row r="9" customFormat="false" ht="27.75" hidden="false" customHeight="true" outlineLevel="0" collapsed="false">
      <c r="A9" s="7" t="s">
        <v>37</v>
      </c>
      <c r="B9" s="7" t="s">
        <v>91</v>
      </c>
      <c r="C9" s="7" t="s">
        <v>92</v>
      </c>
      <c r="D9" s="7" t="s">
        <v>93</v>
      </c>
      <c r="E9" s="7" t="s">
        <v>94</v>
      </c>
      <c r="F9" s="8" t="n">
        <v>1.5</v>
      </c>
      <c r="G9" s="7" t="s">
        <v>95</v>
      </c>
      <c r="H9" s="7" t="s">
        <v>96</v>
      </c>
      <c r="I9" s="7" t="s">
        <v>97</v>
      </c>
      <c r="J9" s="7" t="s">
        <v>98</v>
      </c>
      <c r="K9" s="8" t="n">
        <v>2</v>
      </c>
      <c r="L9" s="7" t="s">
        <v>99</v>
      </c>
      <c r="M9" s="9" t="s">
        <v>47</v>
      </c>
      <c r="N9" s="10" t="s">
        <v>47</v>
      </c>
      <c r="O9" s="11" t="s">
        <v>47</v>
      </c>
    </row>
    <row r="10" customFormat="false" ht="19.5" hidden="false" customHeight="true" outlineLevel="0" collapsed="false">
      <c r="A10" s="6" t="s">
        <v>100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customFormat="false" ht="27.75" hidden="false" customHeight="true" outlineLevel="0" collapsed="false">
      <c r="A11" s="7" t="s">
        <v>100</v>
      </c>
      <c r="B11" s="7" t="s">
        <v>101</v>
      </c>
      <c r="C11" s="7" t="s">
        <v>102</v>
      </c>
      <c r="D11" s="7" t="s">
        <v>103</v>
      </c>
      <c r="E11" s="7" t="s">
        <v>104</v>
      </c>
      <c r="F11" s="8" t="n">
        <v>6</v>
      </c>
      <c r="G11" s="7" t="s">
        <v>105</v>
      </c>
      <c r="H11" s="7" t="s">
        <v>106</v>
      </c>
      <c r="I11" s="7" t="s">
        <v>107</v>
      </c>
      <c r="J11" s="7" t="s">
        <v>104</v>
      </c>
      <c r="K11" s="8" t="n">
        <v>3.5</v>
      </c>
      <c r="L11" s="7" t="s">
        <v>108</v>
      </c>
      <c r="M11" s="9" t="s">
        <v>47</v>
      </c>
      <c r="N11" s="10" t="s">
        <v>47</v>
      </c>
      <c r="O11" s="11" t="s">
        <v>47</v>
      </c>
    </row>
    <row r="12" customFormat="false" ht="30.75" hidden="false" customHeight="true" outlineLevel="0" collapsed="false">
      <c r="A12" s="12" t="s">
        <v>100</v>
      </c>
      <c r="B12" s="12" t="s">
        <v>109</v>
      </c>
      <c r="C12" s="12" t="s">
        <v>110</v>
      </c>
      <c r="D12" s="12" t="s">
        <v>111</v>
      </c>
      <c r="E12" s="12" t="s">
        <v>112</v>
      </c>
      <c r="F12" s="13" t="n">
        <v>7.5</v>
      </c>
      <c r="G12" s="12" t="s">
        <v>113</v>
      </c>
      <c r="H12" s="12" t="s">
        <v>114</v>
      </c>
      <c r="I12" s="12" t="s">
        <v>115</v>
      </c>
      <c r="J12" s="12" t="s">
        <v>112</v>
      </c>
      <c r="K12" s="13" t="n">
        <v>5</v>
      </c>
      <c r="L12" s="12" t="s">
        <v>116</v>
      </c>
      <c r="M12" s="9" t="s">
        <v>47</v>
      </c>
      <c r="N12" s="10" t="s">
        <v>47</v>
      </c>
      <c r="O12" s="11" t="s">
        <v>47</v>
      </c>
    </row>
    <row r="13" customFormat="false" ht="39" hidden="false" customHeight="true" outlineLevel="0" collapsed="false">
      <c r="A13" s="7" t="s">
        <v>100</v>
      </c>
      <c r="B13" s="7" t="s">
        <v>117</v>
      </c>
      <c r="C13" s="7" t="s">
        <v>118</v>
      </c>
      <c r="D13" s="7" t="s">
        <v>119</v>
      </c>
      <c r="E13" s="7" t="s">
        <v>120</v>
      </c>
      <c r="F13" s="8" t="n">
        <v>850</v>
      </c>
      <c r="G13" s="7" t="s">
        <v>121</v>
      </c>
      <c r="H13" s="7" t="s">
        <v>122</v>
      </c>
      <c r="I13" s="7" t="s">
        <v>123</v>
      </c>
      <c r="J13" s="7" t="s">
        <v>124</v>
      </c>
      <c r="K13" s="8" t="n">
        <v>180</v>
      </c>
      <c r="L13" s="7" t="s">
        <v>125</v>
      </c>
      <c r="M13" s="7"/>
      <c r="N13" s="10" t="s">
        <v>47</v>
      </c>
      <c r="O13" s="11" t="s">
        <v>47</v>
      </c>
    </row>
    <row r="14" customFormat="false" ht="37.5" hidden="false" customHeight="true" outlineLevel="0" collapsed="false">
      <c r="A14" s="12" t="s">
        <v>100</v>
      </c>
      <c r="B14" s="12" t="s">
        <v>126</v>
      </c>
      <c r="C14" s="12" t="s">
        <v>127</v>
      </c>
      <c r="D14" s="12" t="s">
        <v>128</v>
      </c>
      <c r="E14" s="12" t="s">
        <v>129</v>
      </c>
      <c r="F14" s="13" t="n">
        <v>30</v>
      </c>
      <c r="G14" s="12" t="s">
        <v>130</v>
      </c>
      <c r="H14" s="12" t="s">
        <v>131</v>
      </c>
      <c r="I14" s="12"/>
      <c r="J14" s="12"/>
      <c r="K14" s="13" t="n">
        <v>0</v>
      </c>
      <c r="L14" s="12" t="s">
        <v>132</v>
      </c>
      <c r="M14" s="9" t="s">
        <v>47</v>
      </c>
      <c r="N14" s="12"/>
      <c r="O14" s="12"/>
    </row>
    <row r="15" customFormat="false" ht="33.75" hidden="false" customHeight="true" outlineLevel="0" collapsed="false">
      <c r="A15" s="7" t="s">
        <v>100</v>
      </c>
      <c r="B15" s="7" t="s">
        <v>133</v>
      </c>
      <c r="C15" s="7" t="s">
        <v>134</v>
      </c>
      <c r="D15" s="7" t="s">
        <v>135</v>
      </c>
      <c r="E15" s="7" t="s">
        <v>136</v>
      </c>
      <c r="F15" s="8" t="n">
        <v>225</v>
      </c>
      <c r="G15" s="7" t="s">
        <v>137</v>
      </c>
      <c r="H15" s="7" t="s">
        <v>138</v>
      </c>
      <c r="I15" s="7" t="s">
        <v>139</v>
      </c>
      <c r="J15" s="7" t="s">
        <v>140</v>
      </c>
      <c r="K15" s="8" t="n">
        <v>5</v>
      </c>
      <c r="L15" s="7" t="s">
        <v>141</v>
      </c>
      <c r="M15" s="7"/>
      <c r="N15" s="10" t="s">
        <v>47</v>
      </c>
      <c r="O15" s="11" t="s">
        <v>47</v>
      </c>
    </row>
    <row r="16" customFormat="false" ht="27.75" hidden="false" customHeight="true" outlineLevel="0" collapsed="false">
      <c r="A16" s="12" t="s">
        <v>100</v>
      </c>
      <c r="B16" s="12" t="s">
        <v>142</v>
      </c>
      <c r="C16" s="12" t="s">
        <v>143</v>
      </c>
      <c r="D16" s="12" t="s">
        <v>144</v>
      </c>
      <c r="E16" s="12" t="s">
        <v>145</v>
      </c>
      <c r="F16" s="13" t="n">
        <v>2.5</v>
      </c>
      <c r="G16" s="12" t="s">
        <v>146</v>
      </c>
      <c r="H16" s="12" t="s">
        <v>147</v>
      </c>
      <c r="I16" s="12" t="s">
        <v>148</v>
      </c>
      <c r="J16" s="12" t="s">
        <v>149</v>
      </c>
      <c r="K16" s="13" t="n">
        <v>3.8</v>
      </c>
      <c r="L16" s="12" t="s">
        <v>150</v>
      </c>
      <c r="M16" s="9" t="s">
        <v>47</v>
      </c>
      <c r="N16" s="10" t="s">
        <v>47</v>
      </c>
      <c r="O16" s="11" t="s">
        <v>47</v>
      </c>
    </row>
    <row r="17" customFormat="false" ht="33" hidden="false" customHeight="true" outlineLevel="0" collapsed="false">
      <c r="A17" s="7" t="s">
        <v>100</v>
      </c>
      <c r="B17" s="7" t="s">
        <v>151</v>
      </c>
      <c r="C17" s="7" t="s">
        <v>152</v>
      </c>
      <c r="D17" s="7" t="s">
        <v>153</v>
      </c>
      <c r="E17" s="7" t="s">
        <v>124</v>
      </c>
      <c r="F17" s="8" t="n">
        <v>100</v>
      </c>
      <c r="G17" s="7" t="s">
        <v>154</v>
      </c>
      <c r="H17" s="7" t="s">
        <v>155</v>
      </c>
      <c r="I17" s="7" t="s">
        <v>156</v>
      </c>
      <c r="J17" s="7" t="s">
        <v>157</v>
      </c>
      <c r="K17" s="8" t="n">
        <v>60</v>
      </c>
      <c r="L17" s="7" t="s">
        <v>158</v>
      </c>
      <c r="M17" s="7"/>
      <c r="N17" s="10" t="s">
        <v>47</v>
      </c>
      <c r="O17" s="11" t="s">
        <v>47</v>
      </c>
    </row>
    <row r="18" customFormat="false" ht="36" hidden="false" customHeight="true" outlineLevel="0" collapsed="false">
      <c r="A18" s="12" t="s">
        <v>100</v>
      </c>
      <c r="B18" s="12" t="s">
        <v>159</v>
      </c>
      <c r="C18" s="12" t="s">
        <v>160</v>
      </c>
      <c r="D18" s="12" t="s">
        <v>161</v>
      </c>
      <c r="E18" s="12" t="s">
        <v>162</v>
      </c>
      <c r="F18" s="13" t="n">
        <v>155</v>
      </c>
      <c r="G18" s="12" t="s">
        <v>163</v>
      </c>
      <c r="H18" s="12" t="s">
        <v>164</v>
      </c>
      <c r="I18" s="12" t="s">
        <v>165</v>
      </c>
      <c r="J18" s="12" t="s">
        <v>166</v>
      </c>
      <c r="K18" s="13" t="n">
        <v>5</v>
      </c>
      <c r="L18" s="12" t="s">
        <v>167</v>
      </c>
      <c r="M18" s="12"/>
      <c r="N18" s="10" t="s">
        <v>47</v>
      </c>
      <c r="O18" s="11" t="s">
        <v>47</v>
      </c>
    </row>
    <row r="19" customFormat="false" ht="19.5" hidden="false" customHeight="true" outlineLevel="0" collapsed="false">
      <c r="A19" s="6" t="s">
        <v>168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customFormat="false" ht="33" hidden="false" customHeight="true" outlineLevel="0" collapsed="false">
      <c r="A20" s="12" t="s">
        <v>168</v>
      </c>
      <c r="B20" s="12" t="s">
        <v>169</v>
      </c>
      <c r="C20" s="12" t="s">
        <v>170</v>
      </c>
      <c r="D20" s="12" t="s">
        <v>171</v>
      </c>
      <c r="E20" s="12" t="s">
        <v>172</v>
      </c>
      <c r="F20" s="13" t="n">
        <v>165</v>
      </c>
      <c r="G20" s="12" t="s">
        <v>173</v>
      </c>
      <c r="H20" s="12" t="s">
        <v>174</v>
      </c>
      <c r="I20" s="12" t="s">
        <v>175</v>
      </c>
      <c r="J20" s="12" t="s">
        <v>176</v>
      </c>
      <c r="K20" s="13" t="n">
        <v>55</v>
      </c>
      <c r="L20" s="12" t="s">
        <v>177</v>
      </c>
      <c r="M20" s="9" t="s">
        <v>47</v>
      </c>
      <c r="N20" s="10" t="s">
        <v>47</v>
      </c>
      <c r="O20" s="11" t="s">
        <v>47</v>
      </c>
    </row>
    <row r="21" customFormat="false" ht="31.5" hidden="false" customHeight="true" outlineLevel="0" collapsed="false">
      <c r="A21" s="7" t="s">
        <v>168</v>
      </c>
      <c r="B21" s="7" t="s">
        <v>178</v>
      </c>
      <c r="C21" s="7" t="s">
        <v>170</v>
      </c>
      <c r="D21" s="7" t="s">
        <v>171</v>
      </c>
      <c r="E21" s="7" t="s">
        <v>162</v>
      </c>
      <c r="F21" s="8" t="n">
        <v>165</v>
      </c>
      <c r="G21" s="7" t="s">
        <v>179</v>
      </c>
      <c r="H21" s="7" t="s">
        <v>180</v>
      </c>
      <c r="I21" s="7" t="s">
        <v>181</v>
      </c>
      <c r="J21" s="7" t="s">
        <v>182</v>
      </c>
      <c r="K21" s="8" t="n">
        <v>8</v>
      </c>
      <c r="L21" s="7" t="s">
        <v>183</v>
      </c>
      <c r="M21" s="7"/>
      <c r="N21" s="10" t="s">
        <v>47</v>
      </c>
      <c r="O21" s="11" t="s">
        <v>47</v>
      </c>
    </row>
    <row r="22" customFormat="false" ht="30.75" hidden="false" customHeight="true" outlineLevel="0" collapsed="false">
      <c r="A22" s="12" t="s">
        <v>168</v>
      </c>
      <c r="B22" s="12" t="s">
        <v>184</v>
      </c>
      <c r="C22" s="12" t="s">
        <v>185</v>
      </c>
      <c r="D22" s="12" t="s">
        <v>186</v>
      </c>
      <c r="E22" s="12" t="s">
        <v>187</v>
      </c>
      <c r="F22" s="13" t="n">
        <v>10</v>
      </c>
      <c r="G22" s="12" t="s">
        <v>188</v>
      </c>
      <c r="H22" s="12" t="s">
        <v>189</v>
      </c>
      <c r="I22" s="12" t="s">
        <v>190</v>
      </c>
      <c r="J22" s="12" t="s">
        <v>68</v>
      </c>
      <c r="K22" s="13" t="n">
        <v>25</v>
      </c>
      <c r="L22" s="12" t="s">
        <v>191</v>
      </c>
      <c r="M22" s="9" t="s">
        <v>47</v>
      </c>
      <c r="N22" s="10" t="s">
        <v>47</v>
      </c>
      <c r="O22" s="11" t="s">
        <v>47</v>
      </c>
    </row>
    <row r="23" customFormat="false" ht="42" hidden="false" customHeight="true" outlineLevel="0" collapsed="false">
      <c r="A23" s="7" t="s">
        <v>168</v>
      </c>
      <c r="B23" s="7" t="s">
        <v>192</v>
      </c>
      <c r="C23" s="7" t="s">
        <v>193</v>
      </c>
      <c r="D23" s="7" t="s">
        <v>165</v>
      </c>
      <c r="E23" s="7" t="s">
        <v>166</v>
      </c>
      <c r="F23" s="8" t="n">
        <v>8</v>
      </c>
      <c r="G23" s="7" t="s">
        <v>194</v>
      </c>
      <c r="H23" s="7" t="s">
        <v>195</v>
      </c>
      <c r="I23" s="7" t="s">
        <v>196</v>
      </c>
      <c r="J23" s="7" t="s">
        <v>197</v>
      </c>
      <c r="K23" s="8" t="n">
        <v>320</v>
      </c>
      <c r="L23" s="7" t="s">
        <v>198</v>
      </c>
      <c r="M23" s="7"/>
      <c r="N23" s="10" t="s">
        <v>47</v>
      </c>
      <c r="O23" s="11" t="s">
        <v>47</v>
      </c>
    </row>
    <row r="24" customFormat="false" ht="19.5" hidden="false" customHeight="true" outlineLevel="0" collapsed="false">
      <c r="A24" s="6" t="s">
        <v>199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customFormat="false" ht="36" hidden="false" customHeight="true" outlineLevel="0" collapsed="false">
      <c r="A25" s="7" t="s">
        <v>199</v>
      </c>
      <c r="B25" s="7" t="s">
        <v>200</v>
      </c>
      <c r="C25" s="7" t="s">
        <v>201</v>
      </c>
      <c r="D25" s="7" t="s">
        <v>202</v>
      </c>
      <c r="E25" s="7" t="s">
        <v>203</v>
      </c>
      <c r="F25" s="8" t="n">
        <v>22</v>
      </c>
      <c r="G25" s="7" t="s">
        <v>204</v>
      </c>
      <c r="H25" s="7" t="s">
        <v>205</v>
      </c>
      <c r="I25" s="7" t="s">
        <v>206</v>
      </c>
      <c r="J25" s="7" t="s">
        <v>104</v>
      </c>
      <c r="K25" s="8" t="n">
        <v>45</v>
      </c>
      <c r="L25" s="7" t="s">
        <v>207</v>
      </c>
      <c r="M25" s="9" t="s">
        <v>47</v>
      </c>
      <c r="N25" s="10" t="s">
        <v>47</v>
      </c>
      <c r="O25" s="11" t="s">
        <v>47</v>
      </c>
    </row>
    <row r="26" customFormat="false" ht="31.5" hidden="false" customHeight="true" outlineLevel="0" collapsed="false">
      <c r="A26" s="12" t="s">
        <v>199</v>
      </c>
      <c r="B26" s="12" t="s">
        <v>208</v>
      </c>
      <c r="C26" s="12" t="s">
        <v>209</v>
      </c>
      <c r="D26" s="12" t="s">
        <v>210</v>
      </c>
      <c r="E26" s="12" t="s">
        <v>104</v>
      </c>
      <c r="F26" s="13" t="n">
        <v>15</v>
      </c>
      <c r="G26" s="12" t="s">
        <v>211</v>
      </c>
      <c r="H26" s="12" t="s">
        <v>212</v>
      </c>
      <c r="I26" s="12" t="s">
        <v>213</v>
      </c>
      <c r="J26" s="12" t="s">
        <v>112</v>
      </c>
      <c r="K26" s="13" t="n">
        <v>20</v>
      </c>
      <c r="L26" s="12" t="s">
        <v>214</v>
      </c>
      <c r="M26" s="12"/>
      <c r="N26" s="10" t="s">
        <v>47</v>
      </c>
      <c r="O26" s="11" t="s">
        <v>47</v>
      </c>
    </row>
    <row r="27" customFormat="false" ht="30" hidden="false" customHeight="true" outlineLevel="0" collapsed="false">
      <c r="A27" s="7" t="s">
        <v>199</v>
      </c>
      <c r="B27" s="7" t="s">
        <v>215</v>
      </c>
      <c r="C27" s="7" t="s">
        <v>216</v>
      </c>
      <c r="D27" s="7" t="s">
        <v>217</v>
      </c>
      <c r="E27" s="7" t="s">
        <v>218</v>
      </c>
      <c r="F27" s="8" t="n">
        <v>25</v>
      </c>
      <c r="G27" s="7" t="s">
        <v>219</v>
      </c>
      <c r="H27" s="7" t="s">
        <v>220</v>
      </c>
      <c r="I27" s="7" t="s">
        <v>221</v>
      </c>
      <c r="J27" s="7" t="s">
        <v>222</v>
      </c>
      <c r="K27" s="8" t="n">
        <v>4</v>
      </c>
      <c r="L27" s="7" t="s">
        <v>223</v>
      </c>
      <c r="M27" s="7"/>
      <c r="N27" s="10" t="s">
        <v>47</v>
      </c>
      <c r="O27" s="11" t="s">
        <v>47</v>
      </c>
    </row>
    <row r="28" customFormat="false" ht="30" hidden="false" customHeight="true" outlineLevel="0" collapsed="false">
      <c r="A28" s="12" t="s">
        <v>199</v>
      </c>
      <c r="B28" s="12" t="s">
        <v>224</v>
      </c>
      <c r="C28" s="12" t="s">
        <v>225</v>
      </c>
      <c r="D28" s="12" t="s">
        <v>226</v>
      </c>
      <c r="E28" s="12" t="s">
        <v>104</v>
      </c>
      <c r="F28" s="13" t="n">
        <v>40</v>
      </c>
      <c r="G28" s="12" t="s">
        <v>227</v>
      </c>
      <c r="H28" s="12" t="s">
        <v>228</v>
      </c>
      <c r="I28" s="12" t="s">
        <v>229</v>
      </c>
      <c r="J28" s="12" t="s">
        <v>230</v>
      </c>
      <c r="K28" s="13" t="n">
        <v>25</v>
      </c>
      <c r="L28" s="12" t="s">
        <v>231</v>
      </c>
      <c r="M28" s="12"/>
      <c r="N28" s="12"/>
      <c r="O28" s="11" t="s">
        <v>47</v>
      </c>
    </row>
    <row r="29" customFormat="false" ht="33.75" hidden="false" customHeight="true" outlineLevel="0" collapsed="false">
      <c r="A29" s="7" t="s">
        <v>199</v>
      </c>
      <c r="B29" s="7" t="s">
        <v>232</v>
      </c>
      <c r="C29" s="7" t="s">
        <v>233</v>
      </c>
      <c r="D29" s="7" t="s">
        <v>234</v>
      </c>
      <c r="E29" s="7" t="s">
        <v>235</v>
      </c>
      <c r="F29" s="8" t="n">
        <v>55</v>
      </c>
      <c r="G29" s="7" t="s">
        <v>236</v>
      </c>
      <c r="H29" s="7" t="s">
        <v>237</v>
      </c>
      <c r="I29" s="7" t="s">
        <v>238</v>
      </c>
      <c r="J29" s="7" t="s">
        <v>239</v>
      </c>
      <c r="K29" s="8" t="n">
        <v>40</v>
      </c>
      <c r="L29" s="7" t="s">
        <v>240</v>
      </c>
      <c r="M29" s="7"/>
      <c r="N29" s="10" t="s">
        <v>47</v>
      </c>
      <c r="O29" s="11" t="s">
        <v>47</v>
      </c>
    </row>
    <row r="30" customFormat="false" ht="31.5" hidden="false" customHeight="true" outlineLevel="0" collapsed="false">
      <c r="A30" s="12" t="s">
        <v>199</v>
      </c>
      <c r="B30" s="12" t="s">
        <v>241</v>
      </c>
      <c r="C30" s="12" t="s">
        <v>242</v>
      </c>
      <c r="D30" s="12" t="s">
        <v>243</v>
      </c>
      <c r="E30" s="12" t="s">
        <v>244</v>
      </c>
      <c r="F30" s="13" t="n">
        <v>25</v>
      </c>
      <c r="G30" s="12" t="s">
        <v>245</v>
      </c>
      <c r="H30" s="12" t="s">
        <v>246</v>
      </c>
      <c r="I30" s="12" t="s">
        <v>247</v>
      </c>
      <c r="J30" s="12" t="s">
        <v>248</v>
      </c>
      <c r="K30" s="13" t="n">
        <v>20</v>
      </c>
      <c r="L30" s="12" t="s">
        <v>249</v>
      </c>
      <c r="M30" s="12"/>
      <c r="N30" s="10" t="s">
        <v>47</v>
      </c>
      <c r="O30" s="11" t="s">
        <v>47</v>
      </c>
    </row>
    <row r="31" customFormat="false" ht="19.5" hidden="false" customHeight="true" outlineLevel="0" collapsed="false">
      <c r="A31" s="6" t="s">
        <v>250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customFormat="false" ht="30" hidden="false" customHeight="true" outlineLevel="0" collapsed="false">
      <c r="A32" s="12" t="s">
        <v>250</v>
      </c>
      <c r="B32" s="12" t="s">
        <v>251</v>
      </c>
      <c r="C32" s="12" t="s">
        <v>252</v>
      </c>
      <c r="D32" s="12" t="s">
        <v>253</v>
      </c>
      <c r="E32" s="12" t="s">
        <v>254</v>
      </c>
      <c r="F32" s="13" t="n">
        <v>6</v>
      </c>
      <c r="G32" s="12" t="s">
        <v>255</v>
      </c>
      <c r="H32" s="12" t="s">
        <v>256</v>
      </c>
      <c r="I32" s="12" t="s">
        <v>257</v>
      </c>
      <c r="J32" s="12" t="s">
        <v>258</v>
      </c>
      <c r="K32" s="13" t="n">
        <v>7.5</v>
      </c>
      <c r="L32" s="12" t="s">
        <v>259</v>
      </c>
      <c r="M32" s="12"/>
      <c r="N32" s="10" t="s">
        <v>47</v>
      </c>
      <c r="O32" s="11" t="s">
        <v>47</v>
      </c>
    </row>
    <row r="33" customFormat="false" ht="27.75" hidden="false" customHeight="true" outlineLevel="0" collapsed="false">
      <c r="A33" s="7" t="s">
        <v>250</v>
      </c>
      <c r="B33" s="7" t="s">
        <v>260</v>
      </c>
      <c r="C33" s="7" t="s">
        <v>261</v>
      </c>
      <c r="D33" s="7" t="s">
        <v>262</v>
      </c>
      <c r="E33" s="7" t="s">
        <v>239</v>
      </c>
      <c r="F33" s="8" t="n">
        <v>15</v>
      </c>
      <c r="G33" s="7" t="s">
        <v>263</v>
      </c>
      <c r="H33" s="7" t="s">
        <v>264</v>
      </c>
      <c r="I33" s="7" t="s">
        <v>265</v>
      </c>
      <c r="J33" s="7" t="s">
        <v>266</v>
      </c>
      <c r="K33" s="8" t="n">
        <v>3</v>
      </c>
      <c r="L33" s="7" t="s">
        <v>267</v>
      </c>
      <c r="M33" s="7"/>
      <c r="N33" s="10" t="s">
        <v>47</v>
      </c>
      <c r="O33" s="11" t="s">
        <v>47</v>
      </c>
    </row>
    <row r="34" customFormat="false" ht="30.75" hidden="false" customHeight="true" outlineLevel="0" collapsed="false">
      <c r="A34" s="12" t="s">
        <v>250</v>
      </c>
      <c r="B34" s="12" t="s">
        <v>268</v>
      </c>
      <c r="C34" s="12" t="s">
        <v>269</v>
      </c>
      <c r="D34" s="12" t="s">
        <v>270</v>
      </c>
      <c r="E34" s="12" t="s">
        <v>271</v>
      </c>
      <c r="F34" s="13" t="n">
        <v>10</v>
      </c>
      <c r="G34" s="12" t="s">
        <v>272</v>
      </c>
      <c r="H34" s="12" t="s">
        <v>273</v>
      </c>
      <c r="I34" s="12" t="s">
        <v>274</v>
      </c>
      <c r="J34" s="12" t="s">
        <v>112</v>
      </c>
      <c r="K34" s="13" t="n">
        <v>22</v>
      </c>
      <c r="L34" s="12" t="s">
        <v>275</v>
      </c>
      <c r="M34" s="9" t="s">
        <v>47</v>
      </c>
      <c r="N34" s="10" t="s">
        <v>47</v>
      </c>
      <c r="O34" s="11" t="s">
        <v>47</v>
      </c>
    </row>
    <row r="35" customFormat="false" ht="19.5" hidden="false" customHeight="true" outlineLevel="0" collapsed="false">
      <c r="A35" s="6" t="s">
        <v>276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</row>
    <row r="36" customFormat="false" ht="33" hidden="false" customHeight="true" outlineLevel="0" collapsed="false">
      <c r="A36" s="12" t="s">
        <v>276</v>
      </c>
      <c r="B36" s="12" t="s">
        <v>277</v>
      </c>
      <c r="C36" s="12" t="s">
        <v>278</v>
      </c>
      <c r="D36" s="12" t="s">
        <v>279</v>
      </c>
      <c r="E36" s="12" t="s">
        <v>280</v>
      </c>
      <c r="F36" s="13" t="n">
        <v>25</v>
      </c>
      <c r="G36" s="12" t="s">
        <v>281</v>
      </c>
      <c r="H36" s="12" t="s">
        <v>282</v>
      </c>
      <c r="I36" s="12" t="s">
        <v>283</v>
      </c>
      <c r="J36" s="12" t="s">
        <v>284</v>
      </c>
      <c r="K36" s="13" t="n">
        <v>40</v>
      </c>
      <c r="L36" s="12" t="s">
        <v>285</v>
      </c>
      <c r="M36" s="12"/>
      <c r="N36" s="12"/>
      <c r="O36" s="11" t="s">
        <v>47</v>
      </c>
    </row>
    <row r="37" customFormat="false" ht="30" hidden="false" customHeight="true" outlineLevel="0" collapsed="false">
      <c r="A37" s="7" t="s">
        <v>276</v>
      </c>
      <c r="B37" s="7" t="s">
        <v>286</v>
      </c>
      <c r="C37" s="7" t="s">
        <v>287</v>
      </c>
      <c r="D37" s="7" t="s">
        <v>288</v>
      </c>
      <c r="E37" s="7" t="s">
        <v>289</v>
      </c>
      <c r="F37" s="8" t="n">
        <v>65</v>
      </c>
      <c r="G37" s="7" t="s">
        <v>290</v>
      </c>
      <c r="H37" s="7" t="s">
        <v>291</v>
      </c>
      <c r="I37" s="7" t="s">
        <v>292</v>
      </c>
      <c r="J37" s="7" t="s">
        <v>293</v>
      </c>
      <c r="K37" s="8" t="n">
        <v>35</v>
      </c>
      <c r="L37" s="7" t="s">
        <v>294</v>
      </c>
      <c r="M37" s="7"/>
      <c r="N37" s="7"/>
      <c r="O37" s="11" t="s">
        <v>47</v>
      </c>
    </row>
    <row r="38" customFormat="false" ht="19.5" hidden="false" customHeight="true" outlineLevel="0" collapsed="false">
      <c r="A38" s="6" t="s">
        <v>295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customFormat="false" ht="30.75" hidden="false" customHeight="true" outlineLevel="0" collapsed="false">
      <c r="A39" s="7" t="s">
        <v>295</v>
      </c>
      <c r="B39" s="7" t="s">
        <v>296</v>
      </c>
      <c r="C39" s="7" t="s">
        <v>297</v>
      </c>
      <c r="D39" s="7" t="s">
        <v>298</v>
      </c>
      <c r="E39" s="7" t="s">
        <v>299</v>
      </c>
      <c r="F39" s="8" t="n">
        <v>49</v>
      </c>
      <c r="G39" s="7" t="s">
        <v>300</v>
      </c>
      <c r="H39" s="7" t="s">
        <v>301</v>
      </c>
      <c r="I39" s="7" t="s">
        <v>165</v>
      </c>
      <c r="J39" s="7" t="s">
        <v>302</v>
      </c>
      <c r="K39" s="8" t="n">
        <v>20</v>
      </c>
      <c r="L39" s="7" t="s">
        <v>303</v>
      </c>
      <c r="M39" s="9" t="s">
        <v>47</v>
      </c>
      <c r="N39" s="10" t="s">
        <v>47</v>
      </c>
      <c r="O39" s="11" t="s">
        <v>47</v>
      </c>
    </row>
    <row r="40" customFormat="false" ht="34.5" hidden="false" customHeight="true" outlineLevel="0" collapsed="false">
      <c r="A40" s="12" t="s">
        <v>295</v>
      </c>
      <c r="B40" s="12" t="s">
        <v>304</v>
      </c>
      <c r="C40" s="12" t="s">
        <v>305</v>
      </c>
      <c r="D40" s="12" t="s">
        <v>306</v>
      </c>
      <c r="E40" s="12" t="s">
        <v>140</v>
      </c>
      <c r="F40" s="13" t="n">
        <v>15</v>
      </c>
      <c r="G40" s="12" t="s">
        <v>307</v>
      </c>
      <c r="H40" s="12" t="s">
        <v>308</v>
      </c>
      <c r="I40" s="12" t="s">
        <v>309</v>
      </c>
      <c r="J40" s="12" t="s">
        <v>310</v>
      </c>
      <c r="K40" s="13" t="n">
        <v>25</v>
      </c>
      <c r="L40" s="12" t="s">
        <v>311</v>
      </c>
      <c r="M40" s="9" t="s">
        <v>47</v>
      </c>
      <c r="N40" s="10" t="s">
        <v>47</v>
      </c>
      <c r="O40" s="11" t="s">
        <v>47</v>
      </c>
    </row>
    <row r="41" customFormat="false" ht="34.5" hidden="false" customHeight="true" outlineLevel="0" collapsed="false">
      <c r="A41" s="7" t="s">
        <v>295</v>
      </c>
      <c r="B41" s="7" t="s">
        <v>312</v>
      </c>
      <c r="C41" s="7" t="s">
        <v>313</v>
      </c>
      <c r="D41" s="7" t="s">
        <v>314</v>
      </c>
      <c r="E41" s="7" t="s">
        <v>315</v>
      </c>
      <c r="F41" s="8" t="n">
        <v>45</v>
      </c>
      <c r="G41" s="7" t="s">
        <v>316</v>
      </c>
      <c r="H41" s="7" t="s">
        <v>317</v>
      </c>
      <c r="I41" s="7" t="s">
        <v>318</v>
      </c>
      <c r="J41" s="7" t="s">
        <v>319</v>
      </c>
      <c r="K41" s="8" t="n">
        <v>30</v>
      </c>
      <c r="L41" s="7" t="s">
        <v>320</v>
      </c>
      <c r="M41" s="9" t="s">
        <v>47</v>
      </c>
      <c r="N41" s="10" t="s">
        <v>47</v>
      </c>
      <c r="O41" s="11" t="s">
        <v>47</v>
      </c>
    </row>
    <row r="42" customFormat="false" ht="27.75" hidden="false" customHeight="true" outlineLevel="0" collapsed="false">
      <c r="A42" s="12" t="s">
        <v>295</v>
      </c>
      <c r="B42" s="12" t="s">
        <v>321</v>
      </c>
      <c r="C42" s="12" t="s">
        <v>322</v>
      </c>
      <c r="D42" s="12" t="s">
        <v>323</v>
      </c>
      <c r="E42" s="12" t="s">
        <v>324</v>
      </c>
      <c r="F42" s="13" t="n">
        <v>2.5</v>
      </c>
      <c r="G42" s="12" t="s">
        <v>325</v>
      </c>
      <c r="H42" s="12" t="s">
        <v>326</v>
      </c>
      <c r="I42" s="12" t="s">
        <v>327</v>
      </c>
      <c r="J42" s="12" t="s">
        <v>324</v>
      </c>
      <c r="K42" s="13" t="n">
        <v>1.8</v>
      </c>
      <c r="L42" s="12" t="s">
        <v>328</v>
      </c>
      <c r="M42" s="9" t="s">
        <v>47</v>
      </c>
      <c r="N42" s="10" t="s">
        <v>47</v>
      </c>
      <c r="O42" s="11" t="s">
        <v>47</v>
      </c>
    </row>
    <row r="43" customFormat="false" ht="19.5" hidden="false" customHeight="true" outlineLevel="0" collapsed="false">
      <c r="A43" s="6" t="s">
        <v>329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customFormat="false" ht="31.5" hidden="false" customHeight="true" outlineLevel="0" collapsed="false">
      <c r="A44" s="12" t="s">
        <v>329</v>
      </c>
      <c r="B44" s="12" t="s">
        <v>330</v>
      </c>
      <c r="C44" s="12" t="s">
        <v>331</v>
      </c>
      <c r="D44" s="12" t="s">
        <v>332</v>
      </c>
      <c r="E44" s="12" t="s">
        <v>333</v>
      </c>
      <c r="F44" s="13" t="n">
        <v>18</v>
      </c>
      <c r="G44" s="12" t="s">
        <v>334</v>
      </c>
      <c r="H44" s="12" t="s">
        <v>335</v>
      </c>
      <c r="I44" s="12" t="s">
        <v>336</v>
      </c>
      <c r="J44" s="12" t="s">
        <v>337</v>
      </c>
      <c r="K44" s="13" t="n">
        <v>35</v>
      </c>
      <c r="L44" s="12" t="s">
        <v>338</v>
      </c>
      <c r="M44" s="12"/>
      <c r="N44" s="10" t="s">
        <v>47</v>
      </c>
      <c r="O44" s="11" t="s">
        <v>47</v>
      </c>
    </row>
    <row r="45" customFormat="false" ht="30.75" hidden="false" customHeight="true" outlineLevel="0" collapsed="false">
      <c r="A45" s="7" t="s">
        <v>329</v>
      </c>
      <c r="B45" s="7" t="s">
        <v>339</v>
      </c>
      <c r="C45" s="7" t="s">
        <v>340</v>
      </c>
      <c r="D45" s="7" t="s">
        <v>341</v>
      </c>
      <c r="E45" s="7" t="s">
        <v>342</v>
      </c>
      <c r="F45" s="8" t="n">
        <v>1.2</v>
      </c>
      <c r="G45" s="7" t="s">
        <v>343</v>
      </c>
      <c r="H45" s="7" t="s">
        <v>344</v>
      </c>
      <c r="I45" s="7" t="s">
        <v>345</v>
      </c>
      <c r="J45" s="7" t="s">
        <v>346</v>
      </c>
      <c r="K45" s="8" t="n">
        <v>2.5</v>
      </c>
      <c r="L45" s="7" t="s">
        <v>347</v>
      </c>
      <c r="M45" s="9" t="s">
        <v>47</v>
      </c>
      <c r="N45" s="10" t="s">
        <v>47</v>
      </c>
      <c r="O45" s="11" t="s">
        <v>47</v>
      </c>
    </row>
    <row r="46" customFormat="false" ht="27.75" hidden="false" customHeight="true" outlineLevel="0" collapsed="false">
      <c r="A46" s="12" t="s">
        <v>329</v>
      </c>
      <c r="B46" s="12" t="s">
        <v>348</v>
      </c>
      <c r="C46" s="12" t="s">
        <v>349</v>
      </c>
      <c r="D46" s="12" t="s">
        <v>350</v>
      </c>
      <c r="E46" s="12" t="s">
        <v>351</v>
      </c>
      <c r="F46" s="13" t="n">
        <v>1</v>
      </c>
      <c r="G46" s="12" t="s">
        <v>352</v>
      </c>
      <c r="H46" s="12" t="s">
        <v>353</v>
      </c>
      <c r="I46" s="12" t="s">
        <v>354</v>
      </c>
      <c r="J46" s="12" t="s">
        <v>355</v>
      </c>
      <c r="K46" s="13" t="n">
        <v>0.8</v>
      </c>
      <c r="L46" s="12" t="s">
        <v>356</v>
      </c>
      <c r="M46" s="9" t="s">
        <v>47</v>
      </c>
      <c r="N46" s="10" t="s">
        <v>47</v>
      </c>
      <c r="O46" s="11" t="s">
        <v>47</v>
      </c>
    </row>
    <row r="47" customFormat="false" ht="31.5" hidden="false" customHeight="true" outlineLevel="0" collapsed="false">
      <c r="A47" s="7" t="s">
        <v>329</v>
      </c>
      <c r="B47" s="7" t="s">
        <v>357</v>
      </c>
      <c r="C47" s="7" t="s">
        <v>358</v>
      </c>
      <c r="D47" s="7" t="s">
        <v>359</v>
      </c>
      <c r="E47" s="7" t="s">
        <v>324</v>
      </c>
      <c r="F47" s="8" t="n">
        <v>1.5</v>
      </c>
      <c r="G47" s="7" t="s">
        <v>360</v>
      </c>
      <c r="H47" s="7" t="s">
        <v>361</v>
      </c>
      <c r="I47" s="7" t="s">
        <v>362</v>
      </c>
      <c r="J47" s="7" t="s">
        <v>363</v>
      </c>
      <c r="K47" s="8" t="n">
        <v>0.5</v>
      </c>
      <c r="L47" s="7" t="s">
        <v>364</v>
      </c>
      <c r="M47" s="9" t="s">
        <v>47</v>
      </c>
      <c r="N47" s="10" t="s">
        <v>47</v>
      </c>
      <c r="O47" s="11" t="s">
        <v>47</v>
      </c>
    </row>
    <row r="48" customFormat="false" ht="19.5" hidden="false" customHeight="true" outlineLevel="0" collapsed="false">
      <c r="A48" s="6" t="s">
        <v>365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customFormat="false" ht="30" hidden="false" customHeight="true" outlineLevel="0" collapsed="false">
      <c r="A49" s="7" t="s">
        <v>365</v>
      </c>
      <c r="B49" s="7" t="s">
        <v>366</v>
      </c>
      <c r="C49" s="7" t="s">
        <v>367</v>
      </c>
      <c r="D49" s="7" t="s">
        <v>368</v>
      </c>
      <c r="E49" s="7" t="s">
        <v>369</v>
      </c>
      <c r="F49" s="8" t="n">
        <v>42</v>
      </c>
      <c r="G49" s="7" t="s">
        <v>370</v>
      </c>
      <c r="H49" s="7" t="s">
        <v>371</v>
      </c>
      <c r="I49" s="7" t="s">
        <v>372</v>
      </c>
      <c r="J49" s="7" t="s">
        <v>373</v>
      </c>
      <c r="K49" s="8" t="n">
        <v>38</v>
      </c>
      <c r="L49" s="7" t="s">
        <v>374</v>
      </c>
      <c r="M49" s="9" t="s">
        <v>47</v>
      </c>
      <c r="N49" s="10" t="s">
        <v>47</v>
      </c>
      <c r="O49" s="11" t="s">
        <v>47</v>
      </c>
    </row>
    <row r="50" customFormat="false" ht="30" hidden="false" customHeight="true" outlineLevel="0" collapsed="false">
      <c r="A50" s="12" t="s">
        <v>365</v>
      </c>
      <c r="B50" s="12" t="s">
        <v>375</v>
      </c>
      <c r="C50" s="12" t="s">
        <v>376</v>
      </c>
      <c r="D50" s="12" t="s">
        <v>165</v>
      </c>
      <c r="E50" s="12" t="s">
        <v>377</v>
      </c>
      <c r="F50" s="13" t="n">
        <v>30</v>
      </c>
      <c r="G50" s="12" t="s">
        <v>378</v>
      </c>
      <c r="H50" s="12" t="s">
        <v>379</v>
      </c>
      <c r="I50" s="12" t="s">
        <v>165</v>
      </c>
      <c r="J50" s="12" t="s">
        <v>380</v>
      </c>
      <c r="K50" s="13" t="n">
        <v>10</v>
      </c>
      <c r="L50" s="12" t="s">
        <v>381</v>
      </c>
      <c r="M50" s="9" t="s">
        <v>47</v>
      </c>
      <c r="N50" s="10" t="s">
        <v>47</v>
      </c>
      <c r="O50" s="11" t="s">
        <v>47</v>
      </c>
    </row>
    <row r="51" customFormat="false" ht="30" hidden="false" customHeight="true" outlineLevel="0" collapsed="false">
      <c r="A51" s="7" t="s">
        <v>365</v>
      </c>
      <c r="B51" s="7" t="s">
        <v>382</v>
      </c>
      <c r="C51" s="7" t="s">
        <v>383</v>
      </c>
      <c r="D51" s="7" t="s">
        <v>165</v>
      </c>
      <c r="E51" s="7" t="s">
        <v>384</v>
      </c>
      <c r="F51" s="8" t="n">
        <v>8</v>
      </c>
      <c r="G51" s="7" t="s">
        <v>385</v>
      </c>
      <c r="H51" s="7" t="s">
        <v>386</v>
      </c>
      <c r="I51" s="7" t="s">
        <v>165</v>
      </c>
      <c r="J51" s="7" t="s">
        <v>387</v>
      </c>
      <c r="K51" s="8" t="n">
        <v>15</v>
      </c>
      <c r="L51" s="7" t="s">
        <v>388</v>
      </c>
      <c r="M51" s="9" t="s">
        <v>47</v>
      </c>
      <c r="N51" s="10" t="s">
        <v>47</v>
      </c>
      <c r="O51" s="11" t="s">
        <v>47</v>
      </c>
    </row>
    <row r="52" customFormat="false" ht="28.5" hidden="false" customHeight="true" outlineLevel="0" collapsed="false">
      <c r="A52" s="12" t="s">
        <v>365</v>
      </c>
      <c r="B52" s="12" t="s">
        <v>389</v>
      </c>
      <c r="C52" s="12" t="s">
        <v>390</v>
      </c>
      <c r="D52" s="12" t="s">
        <v>391</v>
      </c>
      <c r="E52" s="12" t="s">
        <v>392</v>
      </c>
      <c r="F52" s="13" t="n">
        <v>8</v>
      </c>
      <c r="G52" s="12" t="s">
        <v>393</v>
      </c>
      <c r="H52" s="12" t="s">
        <v>394</v>
      </c>
      <c r="I52" s="12" t="s">
        <v>395</v>
      </c>
      <c r="J52" s="12" t="s">
        <v>396</v>
      </c>
      <c r="K52" s="13" t="n">
        <v>3</v>
      </c>
      <c r="L52" s="12" t="s">
        <v>397</v>
      </c>
      <c r="M52" s="9" t="s">
        <v>47</v>
      </c>
      <c r="N52" s="10" t="s">
        <v>47</v>
      </c>
      <c r="O52" s="11" t="s">
        <v>47</v>
      </c>
    </row>
    <row r="53" customFormat="false" ht="30.75" hidden="false" customHeight="true" outlineLevel="0" collapsed="false">
      <c r="A53" s="7" t="s">
        <v>365</v>
      </c>
      <c r="B53" s="7" t="s">
        <v>398</v>
      </c>
      <c r="C53" s="7" t="s">
        <v>399</v>
      </c>
      <c r="D53" s="7" t="s">
        <v>400</v>
      </c>
      <c r="E53" s="7" t="s">
        <v>401</v>
      </c>
      <c r="F53" s="8" t="n">
        <v>5</v>
      </c>
      <c r="G53" s="7" t="s">
        <v>402</v>
      </c>
      <c r="H53" s="7" t="s">
        <v>403</v>
      </c>
      <c r="I53" s="7" t="s">
        <v>404</v>
      </c>
      <c r="J53" s="7" t="s">
        <v>405</v>
      </c>
      <c r="K53" s="8" t="n">
        <v>2</v>
      </c>
      <c r="L53" s="7" t="s">
        <v>406</v>
      </c>
      <c r="M53" s="9" t="s">
        <v>47</v>
      </c>
      <c r="N53" s="10" t="s">
        <v>47</v>
      </c>
      <c r="O53" s="11" t="s">
        <v>47</v>
      </c>
    </row>
    <row r="54" customFormat="false" ht="27.75" hidden="false" customHeight="true" outlineLevel="0" collapsed="false">
      <c r="A54" s="12" t="s">
        <v>365</v>
      </c>
      <c r="B54" s="12" t="s">
        <v>407</v>
      </c>
      <c r="C54" s="12" t="s">
        <v>408</v>
      </c>
      <c r="D54" s="12" t="s">
        <v>409</v>
      </c>
      <c r="E54" s="12" t="s">
        <v>410</v>
      </c>
      <c r="F54" s="13" t="n">
        <v>8</v>
      </c>
      <c r="G54" s="12" t="s">
        <v>411</v>
      </c>
      <c r="H54" s="12" t="s">
        <v>412</v>
      </c>
      <c r="I54" s="12" t="s">
        <v>413</v>
      </c>
      <c r="J54" s="12" t="s">
        <v>414</v>
      </c>
      <c r="K54" s="13" t="n">
        <v>20</v>
      </c>
      <c r="L54" s="12" t="s">
        <v>415</v>
      </c>
      <c r="M54" s="9" t="s">
        <v>47</v>
      </c>
      <c r="N54" s="10" t="s">
        <v>47</v>
      </c>
      <c r="O54" s="11" t="s">
        <v>47</v>
      </c>
    </row>
    <row r="55" customFormat="false" ht="19.5" hidden="false" customHeight="true" outlineLevel="0" collapsed="false">
      <c r="A55" s="6" t="s">
        <v>416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</row>
    <row r="56" customFormat="false" ht="36.75" hidden="false" customHeight="true" outlineLevel="0" collapsed="false">
      <c r="A56" s="12" t="s">
        <v>416</v>
      </c>
      <c r="B56" s="12" t="s">
        <v>417</v>
      </c>
      <c r="C56" s="12" t="s">
        <v>418</v>
      </c>
      <c r="D56" s="12" t="s">
        <v>419</v>
      </c>
      <c r="E56" s="12" t="s">
        <v>420</v>
      </c>
      <c r="F56" s="13" t="n">
        <v>119</v>
      </c>
      <c r="G56" s="12" t="s">
        <v>421</v>
      </c>
      <c r="H56" s="12" t="s">
        <v>422</v>
      </c>
      <c r="I56" s="12" t="s">
        <v>423</v>
      </c>
      <c r="J56" s="12" t="s">
        <v>424</v>
      </c>
      <c r="K56" s="13" t="n">
        <v>200</v>
      </c>
      <c r="L56" s="12" t="s">
        <v>425</v>
      </c>
      <c r="M56" s="12"/>
      <c r="N56" s="10" t="s">
        <v>47</v>
      </c>
      <c r="O56" s="11" t="s">
        <v>47</v>
      </c>
    </row>
    <row r="57" customFormat="false" ht="19.5" hidden="false" customHeight="true" outlineLevel="0" collapsed="false">
      <c r="A57" s="6" t="s">
        <v>426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</row>
    <row r="58" customFormat="false" ht="30.75" hidden="false" customHeight="true" outlineLevel="0" collapsed="false">
      <c r="A58" s="12" t="s">
        <v>426</v>
      </c>
      <c r="B58" s="12" t="s">
        <v>427</v>
      </c>
      <c r="C58" s="12" t="s">
        <v>428</v>
      </c>
      <c r="D58" s="12" t="s">
        <v>429</v>
      </c>
      <c r="E58" s="12" t="s">
        <v>430</v>
      </c>
      <c r="F58" s="13" t="n">
        <v>30</v>
      </c>
      <c r="G58" s="12" t="s">
        <v>431</v>
      </c>
      <c r="H58" s="12" t="s">
        <v>432</v>
      </c>
      <c r="I58" s="12" t="s">
        <v>433</v>
      </c>
      <c r="J58" s="12" t="s">
        <v>89</v>
      </c>
      <c r="K58" s="13" t="n">
        <v>22</v>
      </c>
      <c r="L58" s="12" t="s">
        <v>434</v>
      </c>
      <c r="M58" s="12"/>
      <c r="N58" s="12"/>
      <c r="O58" s="12"/>
    </row>
    <row r="60" customFormat="false" ht="15" hidden="false" customHeight="false" outlineLevel="0" collapsed="false">
      <c r="B60" s="14" t="s">
        <v>435</v>
      </c>
    </row>
    <row r="61" customFormat="false" ht="15" hidden="false" customHeight="false" outlineLevel="0" collapsed="false">
      <c r="B61" s="15" t="s">
        <v>436</v>
      </c>
      <c r="F61" s="16" t="n">
        <f aca="false">SUMIFS(F2:F58,M2:M58,"Y")</f>
        <v>541.3</v>
      </c>
    </row>
    <row r="62" customFormat="false" ht="15" hidden="false" customHeight="false" outlineLevel="0" collapsed="false">
      <c r="B62" s="15" t="s">
        <v>437</v>
      </c>
      <c r="F62" s="16" t="n">
        <f aca="false">SUMIFS(F2:F58,N2:N58,"Y")</f>
        <v>2292.3</v>
      </c>
    </row>
    <row r="63" customFormat="false" ht="15" hidden="false" customHeight="false" outlineLevel="0" collapsed="false">
      <c r="B63" s="15" t="s">
        <v>438</v>
      </c>
      <c r="F63" s="16" t="n">
        <f aca="false">SUMIFS(F2:F58,O2:O58,"Y")</f>
        <v>2422.3</v>
      </c>
    </row>
    <row r="65" customFormat="false" ht="30" hidden="false" customHeight="true" outlineLevel="0" collapsed="false">
      <c r="B65" s="17" t="s">
        <v>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8"/>
    <col collapsed="false" customWidth="true" hidden="false" outlineLevel="0" max="4" min="3" style="0" width="22"/>
    <col collapsed="false" customWidth="true" hidden="false" outlineLevel="0" max="6" min="5" style="0" width="12"/>
    <col collapsed="false" customWidth="true" hidden="false" outlineLevel="0" max="7" min="7" style="0" width="58"/>
  </cols>
  <sheetData>
    <row r="1" customFormat="false" ht="19.7" hidden="false" customHeight="false" outlineLevel="0" collapsed="false">
      <c r="A1" s="18" t="s">
        <v>440</v>
      </c>
    </row>
    <row r="2" customFormat="false" ht="15" hidden="false" customHeight="false" outlineLevel="0" collapsed="false">
      <c r="A2" s="19" t="s">
        <v>441</v>
      </c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</row>
    <row r="5" customFormat="false" ht="30.75" hidden="false" customHeight="true" outlineLevel="0" collapsed="false">
      <c r="A5" s="20" t="n">
        <v>1</v>
      </c>
      <c r="B5" s="7" t="s">
        <v>442</v>
      </c>
      <c r="C5" s="7" t="s">
        <v>40</v>
      </c>
      <c r="D5" s="7" t="s">
        <v>443</v>
      </c>
      <c r="E5" s="8" t="n">
        <v>30</v>
      </c>
      <c r="F5" s="8" t="n">
        <f aca="false">A5*E5</f>
        <v>30</v>
      </c>
      <c r="G5" s="7" t="s">
        <v>444</v>
      </c>
    </row>
    <row r="6" customFormat="false" ht="24" hidden="false" customHeight="true" outlineLevel="0" collapsed="false">
      <c r="A6" s="21" t="n">
        <v>1</v>
      </c>
      <c r="B6" s="12" t="s">
        <v>445</v>
      </c>
      <c r="C6" s="12" t="s">
        <v>446</v>
      </c>
      <c r="D6" s="12" t="s">
        <v>310</v>
      </c>
      <c r="E6" s="13" t="n">
        <v>10</v>
      </c>
      <c r="F6" s="13" t="n">
        <f aca="false">A6*E6</f>
        <v>10</v>
      </c>
      <c r="G6" s="12" t="s">
        <v>447</v>
      </c>
    </row>
    <row r="7" customFormat="false" ht="21.75" hidden="false" customHeight="true" outlineLevel="0" collapsed="false">
      <c r="A7" s="20" t="n">
        <v>1</v>
      </c>
      <c r="B7" s="7" t="s">
        <v>448</v>
      </c>
      <c r="C7" s="7" t="s">
        <v>449</v>
      </c>
      <c r="D7" s="7" t="s">
        <v>140</v>
      </c>
      <c r="E7" s="8" t="n">
        <v>10</v>
      </c>
      <c r="F7" s="8" t="n">
        <f aca="false">A7*E7</f>
        <v>10</v>
      </c>
      <c r="G7" s="7" t="s">
        <v>450</v>
      </c>
    </row>
    <row r="8" customFormat="false" ht="25.5" hidden="false" customHeight="true" outlineLevel="0" collapsed="false">
      <c r="A8" s="21" t="n">
        <v>2</v>
      </c>
      <c r="B8" s="12" t="s">
        <v>451</v>
      </c>
      <c r="C8" s="12" t="s">
        <v>452</v>
      </c>
      <c r="D8" s="12" t="s">
        <v>453</v>
      </c>
      <c r="E8" s="13" t="n">
        <v>5</v>
      </c>
      <c r="F8" s="13" t="n">
        <f aca="false">A8*E8</f>
        <v>10</v>
      </c>
      <c r="G8" s="12" t="s">
        <v>454</v>
      </c>
    </row>
    <row r="9" customFormat="false" ht="27.75" hidden="false" customHeight="true" outlineLevel="0" collapsed="false">
      <c r="A9" s="20" t="n">
        <v>1</v>
      </c>
      <c r="B9" s="7" t="s">
        <v>455</v>
      </c>
      <c r="C9" s="7" t="s">
        <v>181</v>
      </c>
      <c r="D9" s="7" t="s">
        <v>182</v>
      </c>
      <c r="E9" s="8" t="n">
        <v>8</v>
      </c>
      <c r="F9" s="8" t="n">
        <f aca="false">A9*E9</f>
        <v>8</v>
      </c>
      <c r="G9" s="7" t="s">
        <v>456</v>
      </c>
    </row>
    <row r="10" customFormat="false" ht="33" hidden="false" customHeight="true" outlineLevel="0" collapsed="false">
      <c r="A10" s="21" t="n">
        <v>1</v>
      </c>
      <c r="B10" s="12" t="s">
        <v>457</v>
      </c>
      <c r="C10" s="12" t="s">
        <v>123</v>
      </c>
      <c r="D10" s="12" t="s">
        <v>124</v>
      </c>
      <c r="E10" s="13" t="n">
        <v>180</v>
      </c>
      <c r="F10" s="13" t="n">
        <f aca="false">A10*E10</f>
        <v>180</v>
      </c>
      <c r="G10" s="12" t="s">
        <v>458</v>
      </c>
    </row>
    <row r="11" customFormat="false" ht="22.5" hidden="false" customHeight="true" outlineLevel="0" collapsed="false">
      <c r="A11" s="20" t="n">
        <v>1</v>
      </c>
      <c r="B11" s="7" t="s">
        <v>459</v>
      </c>
      <c r="C11" s="7" t="s">
        <v>156</v>
      </c>
      <c r="D11" s="7" t="s">
        <v>157</v>
      </c>
      <c r="E11" s="8" t="n">
        <v>60</v>
      </c>
      <c r="F11" s="8" t="n">
        <f aca="false">A11*E11</f>
        <v>60</v>
      </c>
      <c r="G11" s="7" t="s">
        <v>460</v>
      </c>
    </row>
    <row r="12" customFormat="false" ht="24" hidden="false" customHeight="true" outlineLevel="0" collapsed="false">
      <c r="A12" s="21" t="n">
        <v>1</v>
      </c>
      <c r="B12" s="12" t="s">
        <v>461</v>
      </c>
      <c r="C12" s="12" t="s">
        <v>202</v>
      </c>
      <c r="D12" s="12" t="s">
        <v>462</v>
      </c>
      <c r="E12" s="13" t="n">
        <v>25</v>
      </c>
      <c r="F12" s="13" t="n">
        <f aca="false">A12*E12</f>
        <v>25</v>
      </c>
      <c r="G12" s="12" t="s">
        <v>463</v>
      </c>
    </row>
    <row r="13" customFormat="false" ht="24" hidden="false" customHeight="true" outlineLevel="0" collapsed="false">
      <c r="A13" s="20" t="n">
        <v>1</v>
      </c>
      <c r="B13" s="7" t="s">
        <v>464</v>
      </c>
      <c r="C13" s="7" t="s">
        <v>465</v>
      </c>
      <c r="D13" s="7" t="s">
        <v>140</v>
      </c>
      <c r="E13" s="8" t="n">
        <v>60</v>
      </c>
      <c r="F13" s="8" t="n">
        <f aca="false">A13*E13</f>
        <v>60</v>
      </c>
      <c r="G13" s="7" t="s">
        <v>466</v>
      </c>
    </row>
    <row r="14" customFormat="false" ht="25.5" hidden="false" customHeight="true" outlineLevel="0" collapsed="false">
      <c r="A14" s="21" t="n">
        <v>1</v>
      </c>
      <c r="B14" s="12" t="s">
        <v>467</v>
      </c>
      <c r="C14" s="12" t="s">
        <v>243</v>
      </c>
      <c r="D14" s="12" t="s">
        <v>468</v>
      </c>
      <c r="E14" s="13" t="n">
        <v>25</v>
      </c>
      <c r="F14" s="13" t="n">
        <f aca="false">A14*E14</f>
        <v>25</v>
      </c>
      <c r="G14" s="12" t="s">
        <v>469</v>
      </c>
    </row>
    <row r="15" customFormat="false" ht="21.75" hidden="false" customHeight="true" outlineLevel="0" collapsed="false">
      <c r="A15" s="20" t="n">
        <v>1</v>
      </c>
      <c r="B15" s="7" t="s">
        <v>470</v>
      </c>
      <c r="C15" s="7" t="s">
        <v>471</v>
      </c>
      <c r="D15" s="7" t="s">
        <v>310</v>
      </c>
      <c r="E15" s="8" t="n">
        <v>40</v>
      </c>
      <c r="F15" s="8" t="n">
        <f aca="false">A15*E15</f>
        <v>40</v>
      </c>
      <c r="G15" s="7" t="s">
        <v>472</v>
      </c>
    </row>
    <row r="16" customFormat="false" ht="24" hidden="false" customHeight="true" outlineLevel="0" collapsed="false">
      <c r="A16" s="21" t="n">
        <v>1</v>
      </c>
      <c r="B16" s="12" t="s">
        <v>473</v>
      </c>
      <c r="C16" s="12" t="s">
        <v>474</v>
      </c>
      <c r="D16" s="12" t="s">
        <v>140</v>
      </c>
      <c r="E16" s="13" t="n">
        <v>15</v>
      </c>
      <c r="F16" s="13" t="n">
        <f aca="false">A16*E16</f>
        <v>15</v>
      </c>
      <c r="G16" s="12" t="s">
        <v>475</v>
      </c>
    </row>
    <row r="17" customFormat="false" ht="27.75" hidden="false" customHeight="true" outlineLevel="0" collapsed="false">
      <c r="A17" s="20" t="n">
        <v>1</v>
      </c>
      <c r="B17" s="7" t="s">
        <v>476</v>
      </c>
      <c r="C17" s="7" t="s">
        <v>165</v>
      </c>
      <c r="D17" s="7" t="s">
        <v>477</v>
      </c>
      <c r="E17" s="8" t="n">
        <v>45</v>
      </c>
      <c r="F17" s="8" t="n">
        <f aca="false">A17*E17</f>
        <v>45</v>
      </c>
      <c r="G17" s="7" t="s">
        <v>478</v>
      </c>
    </row>
    <row r="18" customFormat="false" ht="22.5" hidden="false" customHeight="true" outlineLevel="0" collapsed="false">
      <c r="A18" s="21" t="n">
        <v>1</v>
      </c>
      <c r="B18" s="12" t="s">
        <v>479</v>
      </c>
      <c r="C18" s="12" t="s">
        <v>298</v>
      </c>
      <c r="D18" s="12" t="s">
        <v>299</v>
      </c>
      <c r="E18" s="13" t="n">
        <v>49</v>
      </c>
      <c r="F18" s="13" t="n">
        <f aca="false">A18*E18</f>
        <v>49</v>
      </c>
      <c r="G18" s="12" t="s">
        <v>480</v>
      </c>
    </row>
    <row r="19" customFormat="false" ht="22.5" hidden="false" customHeight="true" outlineLevel="0" collapsed="false">
      <c r="A19" s="20" t="n">
        <v>1</v>
      </c>
      <c r="B19" s="7" t="s">
        <v>481</v>
      </c>
      <c r="C19" s="7" t="s">
        <v>309</v>
      </c>
      <c r="D19" s="7" t="s">
        <v>310</v>
      </c>
      <c r="E19" s="8" t="n">
        <v>25</v>
      </c>
      <c r="F19" s="8" t="n">
        <f aca="false">A19*E19</f>
        <v>25</v>
      </c>
      <c r="G19" s="7" t="s">
        <v>482</v>
      </c>
    </row>
    <row r="20" customFormat="false" ht="22.5" hidden="false" customHeight="true" outlineLevel="0" collapsed="false">
      <c r="A20" s="21" t="n">
        <v>1</v>
      </c>
      <c r="B20" s="12" t="s">
        <v>483</v>
      </c>
      <c r="C20" s="12" t="s">
        <v>368</v>
      </c>
      <c r="D20" s="12" t="s">
        <v>369</v>
      </c>
      <c r="E20" s="13" t="n">
        <v>42</v>
      </c>
      <c r="F20" s="13" t="n">
        <f aca="false">A20*E20</f>
        <v>42</v>
      </c>
      <c r="G20" s="12" t="s">
        <v>484</v>
      </c>
    </row>
    <row r="21" customFormat="false" ht="24.75" hidden="false" customHeight="true" outlineLevel="0" collapsed="false">
      <c r="A21" s="20" t="n">
        <v>1</v>
      </c>
      <c r="B21" s="7" t="s">
        <v>485</v>
      </c>
      <c r="C21" s="7" t="s">
        <v>165</v>
      </c>
      <c r="D21" s="7" t="s">
        <v>486</v>
      </c>
      <c r="E21" s="8" t="n">
        <v>80</v>
      </c>
      <c r="F21" s="8" t="n">
        <f aca="false">A21*E21</f>
        <v>80</v>
      </c>
      <c r="G21" s="7" t="s">
        <v>487</v>
      </c>
    </row>
    <row r="22" customFormat="false" ht="30" hidden="false" customHeight="true" outlineLevel="0" collapsed="false">
      <c r="A22" s="21" t="n">
        <v>1</v>
      </c>
      <c r="B22" s="12" t="s">
        <v>488</v>
      </c>
      <c r="C22" s="12" t="s">
        <v>489</v>
      </c>
      <c r="D22" s="12" t="s">
        <v>59</v>
      </c>
      <c r="E22" s="13" t="n">
        <v>180</v>
      </c>
      <c r="F22" s="13" t="n">
        <f aca="false">A22*E22</f>
        <v>180</v>
      </c>
      <c r="G22" s="12" t="s">
        <v>490</v>
      </c>
    </row>
    <row r="23" customFormat="false" ht="25.5" hidden="false" customHeight="true" outlineLevel="0" collapsed="false">
      <c r="A23" s="20" t="n">
        <v>1</v>
      </c>
      <c r="B23" s="7" t="s">
        <v>491</v>
      </c>
      <c r="C23" s="7" t="s">
        <v>492</v>
      </c>
      <c r="D23" s="7" t="s">
        <v>405</v>
      </c>
      <c r="E23" s="8" t="n">
        <v>50</v>
      </c>
      <c r="F23" s="8" t="n">
        <f aca="false">A23*E23</f>
        <v>50</v>
      </c>
      <c r="G23" s="7" t="s">
        <v>493</v>
      </c>
    </row>
    <row r="24" customFormat="false" ht="21.75" hidden="false" customHeight="true" outlineLevel="0" collapsed="false">
      <c r="A24" s="21" t="n">
        <v>1</v>
      </c>
      <c r="B24" s="12" t="s">
        <v>494</v>
      </c>
      <c r="C24" s="12" t="s">
        <v>495</v>
      </c>
      <c r="D24" s="12" t="s">
        <v>496</v>
      </c>
      <c r="E24" s="13" t="n">
        <v>40</v>
      </c>
      <c r="F24" s="13" t="n">
        <f aca="false">A24*E24</f>
        <v>40</v>
      </c>
      <c r="G24" s="12" t="s">
        <v>497</v>
      </c>
    </row>
    <row r="26" customFormat="false" ht="15" hidden="false" customHeight="false" outlineLevel="0" collapsed="false">
      <c r="E26" s="22" t="s">
        <v>498</v>
      </c>
      <c r="F26" s="16" t="n">
        <f aca="false">SUM(F5:F24)</f>
        <v>984</v>
      </c>
    </row>
    <row r="27" customFormat="false" ht="15" hidden="false" customHeight="false" outlineLevel="0" collapsed="false">
      <c r="E27" s="23" t="s">
        <v>499</v>
      </c>
      <c r="F27" s="24" t="n">
        <f aca="false">F26*0.15</f>
        <v>147.6</v>
      </c>
    </row>
    <row r="28" customFormat="false" ht="15" hidden="false" customHeight="false" outlineLevel="0" collapsed="false">
      <c r="E28" s="25" t="s">
        <v>500</v>
      </c>
      <c r="F28" s="26" t="n">
        <f aca="false">F26+F27</f>
        <v>1131.6</v>
      </c>
    </row>
    <row r="30" customFormat="false" ht="15" hidden="false" customHeight="false" outlineLevel="0" collapsed="false">
      <c r="A30" s="27" t="s">
        <v>501</v>
      </c>
    </row>
    <row r="31" customFormat="false" ht="21.75" hidden="false" customHeight="true" outlineLevel="0" collapsed="false">
      <c r="A31" s="28" t="s">
        <v>502</v>
      </c>
      <c r="B31" s="28"/>
      <c r="C31" s="28"/>
      <c r="D31" s="28"/>
      <c r="E31" s="28"/>
      <c r="F31" s="28"/>
      <c r="G31" s="28"/>
    </row>
    <row r="32" customFormat="false" ht="21.75" hidden="false" customHeight="true" outlineLevel="0" collapsed="false">
      <c r="A32" s="28" t="s">
        <v>503</v>
      </c>
      <c r="B32" s="28"/>
      <c r="C32" s="28"/>
      <c r="D32" s="28"/>
      <c r="E32" s="28"/>
      <c r="F32" s="28"/>
      <c r="G32" s="28"/>
    </row>
    <row r="33" customFormat="false" ht="21.75" hidden="false" customHeight="true" outlineLevel="0" collapsed="false">
      <c r="A33" s="28" t="s">
        <v>504</v>
      </c>
      <c r="B33" s="28"/>
      <c r="C33" s="28"/>
      <c r="D33" s="28"/>
      <c r="E33" s="28"/>
      <c r="F33" s="28"/>
      <c r="G33" s="28"/>
    </row>
    <row r="34" customFormat="false" ht="21.75" hidden="false" customHeight="true" outlineLevel="0" collapsed="false">
      <c r="A34" s="28" t="s">
        <v>505</v>
      </c>
      <c r="B34" s="28"/>
      <c r="C34" s="28"/>
      <c r="D34" s="28"/>
      <c r="E34" s="28"/>
      <c r="F34" s="28"/>
      <c r="G34" s="28"/>
    </row>
    <row r="35" customFormat="false" ht="21.75" hidden="false" customHeight="true" outlineLevel="0" collapsed="false">
      <c r="A35" s="28" t="s">
        <v>506</v>
      </c>
      <c r="B35" s="28"/>
      <c r="C35" s="28"/>
      <c r="D35" s="28"/>
      <c r="E35" s="28"/>
      <c r="F35" s="28"/>
      <c r="G35" s="28"/>
    </row>
  </sheetData>
  <mergeCells count="5">
    <mergeCell ref="A31:G31"/>
    <mergeCell ref="A32:G32"/>
    <mergeCell ref="A33:G33"/>
    <mergeCell ref="A34:G34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4" min="3" style="0" width="24"/>
    <col collapsed="false" customWidth="true" hidden="false" outlineLevel="0" max="6" min="5" style="0" width="12"/>
    <col collapsed="false" customWidth="true" hidden="false" outlineLevel="0" max="7" min="7" style="0" width="56"/>
  </cols>
  <sheetData>
    <row r="1" customFormat="false" ht="19.7" hidden="false" customHeight="false" outlineLevel="0" collapsed="false">
      <c r="A1" s="18" t="s">
        <v>507</v>
      </c>
    </row>
    <row r="2" customFormat="false" ht="15" hidden="false" customHeight="false" outlineLevel="0" collapsed="false">
      <c r="A2" s="19" t="s">
        <v>508</v>
      </c>
    </row>
    <row r="4" customFormat="false" ht="15" hidden="false" customHeight="false" outlineLevel="0" collapsed="false">
      <c r="A4" s="5"/>
      <c r="B4" s="5"/>
      <c r="C4" s="5"/>
      <c r="D4" s="5"/>
      <c r="E4" s="5"/>
      <c r="F4" s="5"/>
      <c r="G4" s="5"/>
    </row>
    <row r="5" customFormat="false" ht="30.75" hidden="false" customHeight="true" outlineLevel="0" collapsed="false">
      <c r="A5" s="20" t="n">
        <v>1</v>
      </c>
      <c r="B5" s="7" t="s">
        <v>509</v>
      </c>
      <c r="C5" s="7" t="s">
        <v>510</v>
      </c>
      <c r="D5" s="7" t="s">
        <v>59</v>
      </c>
      <c r="E5" s="8" t="n">
        <v>600</v>
      </c>
      <c r="F5" s="8" t="n">
        <f aca="false">A5*E5</f>
        <v>600</v>
      </c>
      <c r="G5" s="7" t="s">
        <v>511</v>
      </c>
    </row>
    <row r="6" customFormat="false" ht="28.5" hidden="false" customHeight="true" outlineLevel="0" collapsed="false">
      <c r="A6" s="21" t="n">
        <v>1</v>
      </c>
      <c r="B6" s="12" t="s">
        <v>512</v>
      </c>
      <c r="C6" s="12" t="s">
        <v>513</v>
      </c>
      <c r="D6" s="12" t="s">
        <v>514</v>
      </c>
      <c r="E6" s="13" t="n">
        <v>900</v>
      </c>
      <c r="F6" s="13" t="n">
        <f aca="false">A6*E6</f>
        <v>900</v>
      </c>
      <c r="G6" s="12" t="s">
        <v>515</v>
      </c>
    </row>
    <row r="7" customFormat="false" ht="24.75" hidden="false" customHeight="true" outlineLevel="0" collapsed="false">
      <c r="A7" s="20" t="n">
        <v>1</v>
      </c>
      <c r="B7" s="7" t="s">
        <v>516</v>
      </c>
      <c r="C7" s="7" t="s">
        <v>517</v>
      </c>
      <c r="D7" s="7" t="s">
        <v>518</v>
      </c>
      <c r="E7" s="8" t="n">
        <v>120</v>
      </c>
      <c r="F7" s="8" t="n">
        <f aca="false">A7*E7</f>
        <v>120</v>
      </c>
      <c r="G7" s="7" t="s">
        <v>519</v>
      </c>
    </row>
    <row r="8" customFormat="false" ht="21.75" hidden="false" customHeight="true" outlineLevel="0" collapsed="false">
      <c r="A8" s="21" t="n">
        <v>1</v>
      </c>
      <c r="B8" s="12" t="s">
        <v>520</v>
      </c>
      <c r="C8" s="12" t="s">
        <v>521</v>
      </c>
      <c r="D8" s="12" t="s">
        <v>518</v>
      </c>
      <c r="E8" s="13" t="n">
        <v>100</v>
      </c>
      <c r="F8" s="13" t="n">
        <f aca="false">A8*E8</f>
        <v>100</v>
      </c>
      <c r="G8" s="12"/>
    </row>
    <row r="9" customFormat="false" ht="24.75" hidden="false" customHeight="true" outlineLevel="0" collapsed="false">
      <c r="A9" s="20" t="n">
        <v>1</v>
      </c>
      <c r="B9" s="7" t="s">
        <v>522</v>
      </c>
      <c r="C9" s="7" t="s">
        <v>523</v>
      </c>
      <c r="D9" s="7" t="s">
        <v>524</v>
      </c>
      <c r="E9" s="8" t="n">
        <v>260</v>
      </c>
      <c r="F9" s="8" t="n">
        <f aca="false">A9*E9</f>
        <v>260</v>
      </c>
      <c r="G9" s="7" t="s">
        <v>525</v>
      </c>
    </row>
    <row r="10" customFormat="false" ht="27" hidden="false" customHeight="true" outlineLevel="0" collapsed="false">
      <c r="A10" s="21" t="n">
        <v>1</v>
      </c>
      <c r="B10" s="12" t="s">
        <v>526</v>
      </c>
      <c r="C10" s="12" t="s">
        <v>527</v>
      </c>
      <c r="D10" s="12" t="s">
        <v>528</v>
      </c>
      <c r="E10" s="13" t="n">
        <v>180</v>
      </c>
      <c r="F10" s="13" t="n">
        <f aca="false">A10*E10</f>
        <v>180</v>
      </c>
      <c r="G10" s="12" t="s">
        <v>529</v>
      </c>
    </row>
    <row r="11" customFormat="false" ht="27" hidden="false" customHeight="true" outlineLevel="0" collapsed="false">
      <c r="A11" s="20" t="n">
        <v>1</v>
      </c>
      <c r="B11" s="7" t="s">
        <v>530</v>
      </c>
      <c r="C11" s="7" t="s">
        <v>531</v>
      </c>
      <c r="D11" s="7" t="s">
        <v>532</v>
      </c>
      <c r="E11" s="8" t="n">
        <v>350</v>
      </c>
      <c r="F11" s="8" t="n">
        <f aca="false">A11*E11</f>
        <v>350</v>
      </c>
      <c r="G11" s="7" t="s">
        <v>533</v>
      </c>
    </row>
    <row r="12" customFormat="false" ht="30.75" hidden="false" customHeight="true" outlineLevel="0" collapsed="false">
      <c r="A12" s="21" t="n">
        <v>1</v>
      </c>
      <c r="B12" s="12" t="s">
        <v>534</v>
      </c>
      <c r="C12" s="12" t="s">
        <v>535</v>
      </c>
      <c r="D12" s="12" t="s">
        <v>536</v>
      </c>
      <c r="E12" s="13" t="n">
        <v>119</v>
      </c>
      <c r="F12" s="13" t="n">
        <f aca="false">A12*E12</f>
        <v>119</v>
      </c>
      <c r="G12" s="12" t="s">
        <v>537</v>
      </c>
    </row>
    <row r="13" customFormat="false" ht="24" hidden="false" customHeight="true" outlineLevel="0" collapsed="false">
      <c r="A13" s="20" t="n">
        <v>1</v>
      </c>
      <c r="B13" s="7" t="s">
        <v>538</v>
      </c>
      <c r="C13" s="7" t="s">
        <v>539</v>
      </c>
      <c r="D13" s="7" t="s">
        <v>414</v>
      </c>
      <c r="E13" s="8" t="n">
        <v>50</v>
      </c>
      <c r="F13" s="8" t="n">
        <f aca="false">A13*E13</f>
        <v>50</v>
      </c>
      <c r="G13" s="7" t="s">
        <v>540</v>
      </c>
    </row>
    <row r="14" customFormat="false" ht="27" hidden="false" customHeight="true" outlineLevel="0" collapsed="false">
      <c r="A14" s="21" t="n">
        <v>1</v>
      </c>
      <c r="B14" s="12" t="s">
        <v>541</v>
      </c>
      <c r="C14" s="12" t="s">
        <v>542</v>
      </c>
      <c r="D14" s="12" t="s">
        <v>543</v>
      </c>
      <c r="E14" s="13" t="n">
        <v>120</v>
      </c>
      <c r="F14" s="13" t="n">
        <f aca="false">A14*E14</f>
        <v>120</v>
      </c>
      <c r="G14" s="12" t="s">
        <v>544</v>
      </c>
    </row>
    <row r="15" customFormat="false" ht="27" hidden="false" customHeight="true" outlineLevel="0" collapsed="false">
      <c r="A15" s="20" t="n">
        <v>1</v>
      </c>
      <c r="B15" s="7" t="s">
        <v>545</v>
      </c>
      <c r="C15" s="7" t="s">
        <v>546</v>
      </c>
      <c r="D15" s="7" t="s">
        <v>373</v>
      </c>
      <c r="E15" s="8" t="n">
        <v>80</v>
      </c>
      <c r="F15" s="8" t="n">
        <f aca="false">A15*E15</f>
        <v>80</v>
      </c>
      <c r="G15" s="7" t="s">
        <v>547</v>
      </c>
    </row>
    <row r="16" customFormat="false" ht="21.75" hidden="false" customHeight="true" outlineLevel="0" collapsed="false">
      <c r="A16" s="21" t="n">
        <v>1</v>
      </c>
      <c r="B16" s="12" t="s">
        <v>548</v>
      </c>
      <c r="C16" s="12" t="s">
        <v>495</v>
      </c>
      <c r="D16" s="12" t="s">
        <v>549</v>
      </c>
      <c r="E16" s="13" t="n">
        <v>150</v>
      </c>
      <c r="F16" s="13" t="n">
        <f aca="false">A16*E16</f>
        <v>150</v>
      </c>
      <c r="G16" s="12"/>
    </row>
    <row r="18" customFormat="false" ht="15" hidden="false" customHeight="false" outlineLevel="0" collapsed="false">
      <c r="E18" s="22" t="s">
        <v>550</v>
      </c>
      <c r="F18" s="16" t="n">
        <f aca="false">SUM(F5:F16)-F6-F11</f>
        <v>1779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8" t="s">
        <v>551</v>
      </c>
    </row>
    <row r="3" customFormat="false" ht="21.75" hidden="false" customHeight="true" outlineLevel="0" collapsed="false">
      <c r="A3" s="29" t="s">
        <v>552</v>
      </c>
      <c r="B3" s="29"/>
    </row>
    <row r="4" customFormat="false" ht="27.75" hidden="false" customHeight="true" outlineLevel="0" collapsed="false">
      <c r="A4" s="30" t="s">
        <v>462</v>
      </c>
      <c r="B4" s="31" t="s">
        <v>553</v>
      </c>
    </row>
    <row r="5" customFormat="false" ht="24.75" hidden="false" customHeight="true" outlineLevel="0" collapsed="false">
      <c r="A5" s="30" t="s">
        <v>554</v>
      </c>
      <c r="B5" s="31" t="s">
        <v>555</v>
      </c>
    </row>
    <row r="6" customFormat="false" ht="24" hidden="false" customHeight="true" outlineLevel="0" collapsed="false">
      <c r="A6" s="30" t="s">
        <v>140</v>
      </c>
      <c r="B6" s="31" t="s">
        <v>556</v>
      </c>
    </row>
    <row r="7" customFormat="false" ht="25.5" hidden="false" customHeight="true" outlineLevel="0" collapsed="false">
      <c r="A7" s="30" t="s">
        <v>310</v>
      </c>
      <c r="B7" s="31" t="s">
        <v>557</v>
      </c>
    </row>
    <row r="8" customFormat="false" ht="25.5" hidden="false" customHeight="true" outlineLevel="0" collapsed="false">
      <c r="A8" s="30" t="s">
        <v>558</v>
      </c>
      <c r="B8" s="31" t="s">
        <v>559</v>
      </c>
    </row>
    <row r="9" customFormat="false" ht="24" hidden="false" customHeight="true" outlineLevel="0" collapsed="false">
      <c r="A9" s="30" t="s">
        <v>414</v>
      </c>
      <c r="B9" s="31" t="s">
        <v>560</v>
      </c>
    </row>
    <row r="10" customFormat="false" ht="25.5" hidden="false" customHeight="true" outlineLevel="0" collapsed="false">
      <c r="A10" s="30" t="s">
        <v>561</v>
      </c>
      <c r="B10" s="31" t="s">
        <v>562</v>
      </c>
    </row>
    <row r="11" customFormat="false" ht="24.75" hidden="false" customHeight="true" outlineLevel="0" collapsed="false">
      <c r="A11" s="30" t="s">
        <v>162</v>
      </c>
      <c r="B11" s="31" t="s">
        <v>563</v>
      </c>
    </row>
    <row r="12" customFormat="false" ht="24" hidden="false" customHeight="true" outlineLevel="0" collapsed="false">
      <c r="A12" s="30" t="s">
        <v>124</v>
      </c>
      <c r="B12" s="31" t="s">
        <v>564</v>
      </c>
    </row>
    <row r="13" customFormat="false" ht="21.75" hidden="false" customHeight="true" outlineLevel="0" collapsed="false">
      <c r="A13" s="30" t="s">
        <v>136</v>
      </c>
      <c r="B13" s="31" t="s">
        <v>565</v>
      </c>
    </row>
    <row r="15" customFormat="false" ht="21.75" hidden="false" customHeight="true" outlineLevel="0" collapsed="false">
      <c r="A15" s="29" t="s">
        <v>566</v>
      </c>
      <c r="B15" s="29"/>
    </row>
    <row r="16" customFormat="false" ht="37.5" hidden="false" customHeight="true" outlineLevel="0" collapsed="false">
      <c r="A16" s="30" t="s">
        <v>567</v>
      </c>
      <c r="B16" s="31" t="s">
        <v>568</v>
      </c>
    </row>
    <row r="17" customFormat="false" ht="36.75" hidden="false" customHeight="true" outlineLevel="0" collapsed="false">
      <c r="A17" s="30" t="s">
        <v>569</v>
      </c>
      <c r="B17" s="31" t="s">
        <v>570</v>
      </c>
    </row>
    <row r="18" customFormat="false" ht="30" hidden="false" customHeight="true" outlineLevel="0" collapsed="false">
      <c r="A18" s="30" t="s">
        <v>571</v>
      </c>
      <c r="B18" s="31" t="s">
        <v>572</v>
      </c>
    </row>
    <row r="19" customFormat="false" ht="34.5" hidden="false" customHeight="true" outlineLevel="0" collapsed="false">
      <c r="A19" s="30" t="s">
        <v>573</v>
      </c>
      <c r="B19" s="31" t="s">
        <v>574</v>
      </c>
    </row>
    <row r="20" customFormat="false" ht="33" hidden="false" customHeight="true" outlineLevel="0" collapsed="false">
      <c r="A20" s="30" t="s">
        <v>575</v>
      </c>
      <c r="B20" s="31" t="s">
        <v>576</v>
      </c>
    </row>
    <row r="22" customFormat="false" ht="21.75" hidden="false" customHeight="true" outlineLevel="0" collapsed="false">
      <c r="A22" s="29" t="s">
        <v>577</v>
      </c>
      <c r="B22" s="29"/>
    </row>
    <row r="23" customFormat="false" ht="25.5" hidden="false" customHeight="true" outlineLevel="0" collapsed="false">
      <c r="A23" s="30" t="s">
        <v>578</v>
      </c>
      <c r="B23" s="31" t="s">
        <v>579</v>
      </c>
    </row>
    <row r="24" customFormat="false" ht="27.75" hidden="false" customHeight="true" outlineLevel="0" collapsed="false">
      <c r="A24" s="30" t="s">
        <v>580</v>
      </c>
      <c r="B24" s="31" t="s">
        <v>581</v>
      </c>
    </row>
    <row r="25" customFormat="false" ht="27.75" hidden="false" customHeight="true" outlineLevel="0" collapsed="false">
      <c r="A25" s="30" t="s">
        <v>582</v>
      </c>
      <c r="B25" s="31" t="s">
        <v>583</v>
      </c>
    </row>
    <row r="26" customFormat="false" ht="27" hidden="false" customHeight="true" outlineLevel="0" collapsed="false">
      <c r="A26" s="30" t="s">
        <v>584</v>
      </c>
      <c r="B26" s="31" t="s">
        <v>585</v>
      </c>
    </row>
    <row r="27" customFormat="false" ht="30" hidden="false" customHeight="true" outlineLevel="0" collapsed="false">
      <c r="A27" s="30" t="s">
        <v>586</v>
      </c>
      <c r="B27" s="31" t="s">
        <v>587</v>
      </c>
    </row>
    <row r="29" customFormat="false" ht="21.75" hidden="false" customHeight="true" outlineLevel="0" collapsed="false">
      <c r="A29" s="29" t="s">
        <v>588</v>
      </c>
      <c r="B29" s="29"/>
    </row>
    <row r="30" customFormat="false" ht="28.5" hidden="false" customHeight="true" outlineLevel="0" collapsed="false">
      <c r="A30" s="30" t="s">
        <v>589</v>
      </c>
      <c r="B30" s="31" t="s">
        <v>590</v>
      </c>
    </row>
    <row r="31" customFormat="false" ht="28.5" hidden="false" customHeight="true" outlineLevel="0" collapsed="false">
      <c r="A31" s="30" t="s">
        <v>591</v>
      </c>
      <c r="B31" s="31" t="s">
        <v>592</v>
      </c>
    </row>
    <row r="32" customFormat="false" ht="30.75" hidden="false" customHeight="true" outlineLevel="0" collapsed="false">
      <c r="A32" s="30" t="s">
        <v>593</v>
      </c>
      <c r="B32" s="31" t="s">
        <v>594</v>
      </c>
    </row>
    <row r="33" customFormat="false" ht="27.75" hidden="false" customHeight="true" outlineLevel="0" collapsed="false">
      <c r="A33" s="30" t="s">
        <v>595</v>
      </c>
      <c r="B33" s="31" t="s">
        <v>596</v>
      </c>
    </row>
    <row r="35" customFormat="false" ht="21.75" hidden="false" customHeight="true" outlineLevel="0" collapsed="false">
      <c r="A35" s="29" t="s">
        <v>597</v>
      </c>
      <c r="B35" s="29"/>
    </row>
    <row r="36" customFormat="false" ht="24" hidden="false" customHeight="true" outlineLevel="0" collapsed="false">
      <c r="A36" s="30" t="s">
        <v>598</v>
      </c>
      <c r="B36" s="31" t="s">
        <v>599</v>
      </c>
    </row>
    <row r="37" customFormat="false" ht="21.75" hidden="false" customHeight="true" outlineLevel="0" collapsed="false">
      <c r="A37" s="30" t="s">
        <v>417</v>
      </c>
      <c r="B37" s="31" t="s">
        <v>600</v>
      </c>
    </row>
    <row r="38" customFormat="false" ht="24.75" hidden="false" customHeight="true" outlineLevel="0" collapsed="false">
      <c r="A38" s="30" t="s">
        <v>601</v>
      </c>
      <c r="B38" s="31" t="s">
        <v>602</v>
      </c>
    </row>
    <row r="39" customFormat="false" ht="27.75" hidden="false" customHeight="true" outlineLevel="0" collapsed="false">
      <c r="A39" s="30" t="s">
        <v>73</v>
      </c>
      <c r="B39" s="31" t="s">
        <v>603</v>
      </c>
    </row>
  </sheetData>
  <mergeCells count="5">
    <mergeCell ref="A3:B3"/>
    <mergeCell ref="A15:B15"/>
    <mergeCell ref="A22:B22"/>
    <mergeCell ref="A29:B29"/>
    <mergeCell ref="A35:B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2026-04-18T03:26:55Z</dcterms:created>
  <dc:creator>openpyxl</dc:creator>
  <dc:description/>
  <dc:language>en-US</dc:language>
  <cp:lastModifiedBy/>
  <dcterms:modified xsi:type="dcterms:W3CDTF">2026-04-18T03:26:55Z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